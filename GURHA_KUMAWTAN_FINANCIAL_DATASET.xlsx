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simsaji/Downloads/"/>
    </mc:Choice>
  </mc:AlternateContent>
  <xr:revisionPtr revIDLastSave="0" documentId="8_{5767D07F-DC09-8644-9F61-A2E916AFB1C7}" xr6:coauthVersionLast="47" xr6:coauthVersionMax="47" xr10:uidLastSave="{00000000-0000-0000-0000-000000000000}"/>
  <bookViews>
    <workbookView xWindow="0" yWindow="600" windowWidth="25600" windowHeight="14920" activeTab="3" xr2:uid="{00000000-000D-0000-FFFF-FFFF00000000}"/>
  </bookViews>
  <sheets>
    <sheet name="FARM_DATA" sheetId="1" r:id="rId1"/>
    <sheet name="CLEAN_DATA" sheetId="2" r:id="rId2"/>
    <sheet name="PROJECTION " sheetId="4" r:id="rId3"/>
    <sheet name="Dashboard" sheetId="5" r:id="rId4"/>
    <sheet name="Sheet7" sheetId="8" state="hidden" r:id="rId5"/>
    <sheet name="Pivot Tables and Charts" sheetId="6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4" l="1"/>
  <c r="E15" i="4"/>
  <c r="S352" i="2" l="1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" i="2"/>
  <c r="S4" i="2"/>
  <c r="S5" i="2"/>
  <c r="S6" i="2"/>
  <c r="S7" i="2"/>
  <c r="S8" i="2"/>
  <c r="S9" i="2"/>
  <c r="S10" i="2"/>
  <c r="S11" i="2"/>
  <c r="S12" i="2"/>
  <c r="S2" i="2"/>
  <c r="B21" i="6" a="1"/>
  <c r="B21" i="6" s="1"/>
  <c r="C8" i="2"/>
  <c r="C7" i="2"/>
  <c r="C357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O358" i="2"/>
  <c r="O359" i="2"/>
  <c r="O360" i="2"/>
  <c r="O361" i="2"/>
  <c r="O362" i="2"/>
  <c r="O363" i="2"/>
  <c r="O364" i="2"/>
  <c r="O365" i="2"/>
  <c r="O36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N2" i="2"/>
  <c r="F2" i="2"/>
  <c r="J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J2" i="2"/>
  <c r="J3" i="2"/>
  <c r="J4" i="2"/>
  <c r="J5" i="2"/>
  <c r="J6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C2" i="2"/>
  <c r="C3" i="2"/>
  <c r="C4" i="2"/>
  <c r="C5" i="2"/>
  <c r="C6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8" i="2"/>
  <c r="C359" i="2"/>
  <c r="C360" i="2"/>
  <c r="C361" i="2"/>
  <c r="C362" i="2"/>
  <c r="C363" i="2"/>
  <c r="C364" i="2"/>
  <c r="C365" i="2"/>
  <c r="C36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M348" i="2" l="1"/>
  <c r="N348" i="2"/>
  <c r="M198" i="2"/>
  <c r="N198" i="2"/>
  <c r="M194" i="2"/>
  <c r="N194" i="2"/>
  <c r="N114" i="2"/>
  <c r="M114" i="2"/>
  <c r="N343" i="2"/>
  <c r="M343" i="2"/>
  <c r="N313" i="2"/>
  <c r="M313" i="2"/>
  <c r="N359" i="2"/>
  <c r="M359" i="2"/>
  <c r="M349" i="2"/>
  <c r="N349" i="2"/>
  <c r="M339" i="2"/>
  <c r="N339" i="2"/>
  <c r="N329" i="2"/>
  <c r="M329" i="2"/>
  <c r="N319" i="2"/>
  <c r="M319" i="2"/>
  <c r="N309" i="2"/>
  <c r="M309" i="2"/>
  <c r="M299" i="2"/>
  <c r="N299" i="2"/>
  <c r="N289" i="2"/>
  <c r="M289" i="2"/>
  <c r="M279" i="2"/>
  <c r="N279" i="2"/>
  <c r="N269" i="2"/>
  <c r="M269" i="2"/>
  <c r="N259" i="2"/>
  <c r="M259" i="2"/>
  <c r="N249" i="2"/>
  <c r="M249" i="2"/>
  <c r="N239" i="2"/>
  <c r="M239" i="2"/>
  <c r="N229" i="2"/>
  <c r="M229" i="2"/>
  <c r="N219" i="2"/>
  <c r="M219" i="2"/>
  <c r="N209" i="2"/>
  <c r="M209" i="2"/>
  <c r="N199" i="2"/>
  <c r="M199" i="2"/>
  <c r="N189" i="2"/>
  <c r="M189" i="2"/>
  <c r="N179" i="2"/>
  <c r="M179" i="2"/>
  <c r="N169" i="2"/>
  <c r="M169" i="2"/>
  <c r="N159" i="2"/>
  <c r="M159" i="2"/>
  <c r="N149" i="2"/>
  <c r="M149" i="2"/>
  <c r="N139" i="2"/>
  <c r="M139" i="2"/>
  <c r="N129" i="2"/>
  <c r="M129" i="2"/>
  <c r="N119" i="2"/>
  <c r="M119" i="2"/>
  <c r="N109" i="2"/>
  <c r="M109" i="2"/>
  <c r="M99" i="2"/>
  <c r="N99" i="2"/>
  <c r="N89" i="2"/>
  <c r="M89" i="2"/>
  <c r="N79" i="2"/>
  <c r="M79" i="2"/>
  <c r="N69" i="2"/>
  <c r="M69" i="2"/>
  <c r="N59" i="2"/>
  <c r="M59" i="2"/>
  <c r="N49" i="2"/>
  <c r="M49" i="2"/>
  <c r="N39" i="2"/>
  <c r="M39" i="2"/>
  <c r="N29" i="2"/>
  <c r="M29" i="2"/>
  <c r="M19" i="2"/>
  <c r="N19" i="2"/>
  <c r="N9" i="2"/>
  <c r="M9" i="2"/>
  <c r="N298" i="2"/>
  <c r="M298" i="2"/>
  <c r="M218" i="2"/>
  <c r="N218" i="2"/>
  <c r="M128" i="2"/>
  <c r="N128" i="2"/>
  <c r="M18" i="2"/>
  <c r="N18" i="2"/>
  <c r="N268" i="2"/>
  <c r="M268" i="2"/>
  <c r="M208" i="2"/>
  <c r="N208" i="2"/>
  <c r="M118" i="2"/>
  <c r="N118" i="2"/>
  <c r="N58" i="2"/>
  <c r="M58" i="2"/>
  <c r="M357" i="2"/>
  <c r="N357" i="2"/>
  <c r="N347" i="2"/>
  <c r="M347" i="2"/>
  <c r="M337" i="2"/>
  <c r="N337" i="2"/>
  <c r="M327" i="2"/>
  <c r="N327" i="2"/>
  <c r="M317" i="2"/>
  <c r="N317" i="2"/>
  <c r="N307" i="2"/>
  <c r="M307" i="2"/>
  <c r="N297" i="2"/>
  <c r="M297" i="2"/>
  <c r="M287" i="2"/>
  <c r="N287" i="2"/>
  <c r="M277" i="2"/>
  <c r="N277" i="2"/>
  <c r="M267" i="2"/>
  <c r="N267" i="2"/>
  <c r="N257" i="2"/>
  <c r="M257" i="2"/>
  <c r="N247" i="2"/>
  <c r="M247" i="2"/>
  <c r="N237" i="2"/>
  <c r="M237" i="2"/>
  <c r="M227" i="2"/>
  <c r="N227" i="2"/>
  <c r="N217" i="2"/>
  <c r="M217" i="2"/>
  <c r="N207" i="2"/>
  <c r="M207" i="2"/>
  <c r="M197" i="2"/>
  <c r="N197" i="2"/>
  <c r="N187" i="2"/>
  <c r="M187" i="2"/>
  <c r="N177" i="2"/>
  <c r="M177" i="2"/>
  <c r="M167" i="2"/>
  <c r="N167" i="2"/>
  <c r="N157" i="2"/>
  <c r="M157" i="2"/>
  <c r="N147" i="2"/>
  <c r="M147" i="2"/>
  <c r="N137" i="2"/>
  <c r="M137" i="2"/>
  <c r="N127" i="2"/>
  <c r="M127" i="2"/>
  <c r="M117" i="2"/>
  <c r="N117" i="2"/>
  <c r="N107" i="2"/>
  <c r="M107" i="2"/>
  <c r="N97" i="2"/>
  <c r="M97" i="2"/>
  <c r="N87" i="2"/>
  <c r="M87" i="2"/>
  <c r="N77" i="2"/>
  <c r="M77" i="2"/>
  <c r="M67" i="2"/>
  <c r="N67" i="2"/>
  <c r="M57" i="2"/>
  <c r="N57" i="2"/>
  <c r="N47" i="2"/>
  <c r="M47" i="2"/>
  <c r="N37" i="2"/>
  <c r="M37" i="2"/>
  <c r="N27" i="2"/>
  <c r="M27" i="2"/>
  <c r="M17" i="2"/>
  <c r="N17" i="2"/>
  <c r="N7" i="2"/>
  <c r="M7" i="2"/>
  <c r="M288" i="2"/>
  <c r="N288" i="2"/>
  <c r="M228" i="2"/>
  <c r="N228" i="2"/>
  <c r="N158" i="2"/>
  <c r="M158" i="2"/>
  <c r="M68" i="2"/>
  <c r="N68" i="2"/>
  <c r="M8" i="2"/>
  <c r="N8" i="2"/>
  <c r="N366" i="2"/>
  <c r="M366" i="2"/>
  <c r="N356" i="2"/>
  <c r="M356" i="2"/>
  <c r="N346" i="2"/>
  <c r="M346" i="2"/>
  <c r="N336" i="2"/>
  <c r="M336" i="2"/>
  <c r="N326" i="2"/>
  <c r="M326" i="2"/>
  <c r="N316" i="2"/>
  <c r="M316" i="2"/>
  <c r="M306" i="2"/>
  <c r="N306" i="2"/>
  <c r="N296" i="2"/>
  <c r="M296" i="2"/>
  <c r="N286" i="2"/>
  <c r="M286" i="2"/>
  <c r="N276" i="2"/>
  <c r="M276" i="2"/>
  <c r="M266" i="2"/>
  <c r="N266" i="2"/>
  <c r="N256" i="2"/>
  <c r="M256" i="2"/>
  <c r="N246" i="2"/>
  <c r="M246" i="2"/>
  <c r="N236" i="2"/>
  <c r="M236" i="2"/>
  <c r="N226" i="2"/>
  <c r="M226" i="2"/>
  <c r="N216" i="2"/>
  <c r="M216" i="2"/>
  <c r="N206" i="2"/>
  <c r="M206" i="2"/>
  <c r="M196" i="2"/>
  <c r="N196" i="2"/>
  <c r="N186" i="2"/>
  <c r="M186" i="2"/>
  <c r="N176" i="2"/>
  <c r="M176" i="2"/>
  <c r="M166" i="2"/>
  <c r="N166" i="2"/>
  <c r="N156" i="2"/>
  <c r="M156" i="2"/>
  <c r="N146" i="2"/>
  <c r="M146" i="2"/>
  <c r="N136" i="2"/>
  <c r="M136" i="2"/>
  <c r="N126" i="2"/>
  <c r="M126" i="2"/>
  <c r="M116" i="2"/>
  <c r="N116" i="2"/>
  <c r="N106" i="2"/>
  <c r="M106" i="2"/>
  <c r="N96" i="2"/>
  <c r="M96" i="2"/>
  <c r="N86" i="2"/>
  <c r="M86" i="2"/>
  <c r="N76" i="2"/>
  <c r="M76" i="2"/>
  <c r="N66" i="2"/>
  <c r="M66" i="2"/>
  <c r="M56" i="2"/>
  <c r="N56" i="2"/>
  <c r="M46" i="2"/>
  <c r="N46" i="2"/>
  <c r="N36" i="2"/>
  <c r="M36" i="2"/>
  <c r="N26" i="2"/>
  <c r="M26" i="2"/>
  <c r="N16" i="2"/>
  <c r="M16" i="2"/>
  <c r="M6" i="2"/>
  <c r="N6" i="2"/>
  <c r="N328" i="2"/>
  <c r="M328" i="2"/>
  <c r="N248" i="2"/>
  <c r="M248" i="2"/>
  <c r="M178" i="2"/>
  <c r="N178" i="2"/>
  <c r="M88" i="2"/>
  <c r="N88" i="2"/>
  <c r="M48" i="2"/>
  <c r="N48" i="2"/>
  <c r="N335" i="2"/>
  <c r="M335" i="2"/>
  <c r="N315" i="2"/>
  <c r="M315" i="2"/>
  <c r="N305" i="2"/>
  <c r="M305" i="2"/>
  <c r="N295" i="2"/>
  <c r="M295" i="2"/>
  <c r="N275" i="2"/>
  <c r="M275" i="2"/>
  <c r="M265" i="2"/>
  <c r="N265" i="2"/>
  <c r="M255" i="2"/>
  <c r="N255" i="2"/>
  <c r="N245" i="2"/>
  <c r="M245" i="2"/>
  <c r="N235" i="2"/>
  <c r="M235" i="2"/>
  <c r="N225" i="2"/>
  <c r="M225" i="2"/>
  <c r="N215" i="2"/>
  <c r="M215" i="2"/>
  <c r="N205" i="2"/>
  <c r="M205" i="2"/>
  <c r="M195" i="2"/>
  <c r="N195" i="2"/>
  <c r="N185" i="2"/>
  <c r="M185" i="2"/>
  <c r="N175" i="2"/>
  <c r="M175" i="2"/>
  <c r="M165" i="2"/>
  <c r="N165" i="2"/>
  <c r="N155" i="2"/>
  <c r="M155" i="2"/>
  <c r="N145" i="2"/>
  <c r="M145" i="2"/>
  <c r="N135" i="2"/>
  <c r="M135" i="2"/>
  <c r="N125" i="2"/>
  <c r="M125" i="2"/>
  <c r="N115" i="2"/>
  <c r="M115" i="2"/>
  <c r="N105" i="2"/>
  <c r="M105" i="2"/>
  <c r="N95" i="2"/>
  <c r="M95" i="2"/>
  <c r="N85" i="2"/>
  <c r="M85" i="2"/>
  <c r="N75" i="2"/>
  <c r="M75" i="2"/>
  <c r="N65" i="2"/>
  <c r="M65" i="2"/>
  <c r="M55" i="2"/>
  <c r="N55" i="2"/>
  <c r="M45" i="2"/>
  <c r="N45" i="2"/>
  <c r="N35" i="2"/>
  <c r="M35" i="2"/>
  <c r="N25" i="2"/>
  <c r="M25" i="2"/>
  <c r="N15" i="2"/>
  <c r="M15" i="2"/>
  <c r="M5" i="2"/>
  <c r="N5" i="2"/>
  <c r="N358" i="2"/>
  <c r="M358" i="2"/>
  <c r="N258" i="2"/>
  <c r="M258" i="2"/>
  <c r="M188" i="2"/>
  <c r="N188" i="2"/>
  <c r="M98" i="2"/>
  <c r="N98" i="2"/>
  <c r="M38" i="2"/>
  <c r="N38" i="2"/>
  <c r="N365" i="2"/>
  <c r="M365" i="2"/>
  <c r="N344" i="2"/>
  <c r="M344" i="2"/>
  <c r="N304" i="2"/>
  <c r="M304" i="2"/>
  <c r="N274" i="2"/>
  <c r="M274" i="2"/>
  <c r="M254" i="2"/>
  <c r="N254" i="2"/>
  <c r="N224" i="2"/>
  <c r="M224" i="2"/>
  <c r="N214" i="2"/>
  <c r="M214" i="2"/>
  <c r="N164" i="2"/>
  <c r="M164" i="2"/>
  <c r="N154" i="2"/>
  <c r="M154" i="2"/>
  <c r="N124" i="2"/>
  <c r="M124" i="2"/>
  <c r="N104" i="2"/>
  <c r="M104" i="2"/>
  <c r="N74" i="2"/>
  <c r="M74" i="2"/>
  <c r="N64" i="2"/>
  <c r="M64" i="2"/>
  <c r="M44" i="2"/>
  <c r="N44" i="2"/>
  <c r="N34" i="2"/>
  <c r="M34" i="2"/>
  <c r="N24" i="2"/>
  <c r="M24" i="2"/>
  <c r="N14" i="2"/>
  <c r="M14" i="2"/>
  <c r="N4" i="2"/>
  <c r="M4" i="2"/>
  <c r="M318" i="2"/>
  <c r="N318" i="2"/>
  <c r="M238" i="2"/>
  <c r="N238" i="2"/>
  <c r="M168" i="2"/>
  <c r="N168" i="2"/>
  <c r="M78" i="2"/>
  <c r="N78" i="2"/>
  <c r="M28" i="2"/>
  <c r="N28" i="2"/>
  <c r="N355" i="2"/>
  <c r="M355" i="2"/>
  <c r="N325" i="2"/>
  <c r="M325" i="2"/>
  <c r="N285" i="2"/>
  <c r="M285" i="2"/>
  <c r="N354" i="2"/>
  <c r="M354" i="2"/>
  <c r="N334" i="2"/>
  <c r="M334" i="2"/>
  <c r="N314" i="2"/>
  <c r="M314" i="2"/>
  <c r="N294" i="2"/>
  <c r="M294" i="2"/>
  <c r="N284" i="2"/>
  <c r="M284" i="2"/>
  <c r="M264" i="2"/>
  <c r="N264" i="2"/>
  <c r="N204" i="2"/>
  <c r="M204" i="2"/>
  <c r="N134" i="2"/>
  <c r="M134" i="2"/>
  <c r="N94" i="2"/>
  <c r="M94" i="2"/>
  <c r="M54" i="2"/>
  <c r="N54" i="2"/>
  <c r="N303" i="2"/>
  <c r="M303" i="2"/>
  <c r="N233" i="2"/>
  <c r="M233" i="2"/>
  <c r="M33" i="2"/>
  <c r="N33" i="2"/>
  <c r="M338" i="2"/>
  <c r="N338" i="2"/>
  <c r="M148" i="2"/>
  <c r="N148" i="2"/>
  <c r="N184" i="2"/>
  <c r="M184" i="2"/>
  <c r="N363" i="2"/>
  <c r="M363" i="2"/>
  <c r="N223" i="2"/>
  <c r="M223" i="2"/>
  <c r="N183" i="2"/>
  <c r="M183" i="2"/>
  <c r="N163" i="2"/>
  <c r="M163" i="2"/>
  <c r="N133" i="2"/>
  <c r="M133" i="2"/>
  <c r="N123" i="2"/>
  <c r="M123" i="2"/>
  <c r="N113" i="2"/>
  <c r="M113" i="2"/>
  <c r="M83" i="2"/>
  <c r="N83" i="2"/>
  <c r="N53" i="2"/>
  <c r="M53" i="2"/>
  <c r="N3" i="2"/>
  <c r="M3" i="2"/>
  <c r="N352" i="2"/>
  <c r="M352" i="2"/>
  <c r="N282" i="2"/>
  <c r="M282" i="2"/>
  <c r="N242" i="2"/>
  <c r="M242" i="2"/>
  <c r="N222" i="2"/>
  <c r="M222" i="2"/>
  <c r="N192" i="2"/>
  <c r="M192" i="2"/>
  <c r="N152" i="2"/>
  <c r="M152" i="2"/>
  <c r="N102" i="2"/>
  <c r="M102" i="2"/>
  <c r="N82" i="2"/>
  <c r="M82" i="2"/>
  <c r="N62" i="2"/>
  <c r="M62" i="2"/>
  <c r="N22" i="2"/>
  <c r="M22" i="2"/>
  <c r="M2" i="2"/>
  <c r="N308" i="2"/>
  <c r="M308" i="2"/>
  <c r="M138" i="2"/>
  <c r="N138" i="2"/>
  <c r="N244" i="2"/>
  <c r="M244" i="2"/>
  <c r="M144" i="2"/>
  <c r="N144" i="2"/>
  <c r="N323" i="2"/>
  <c r="M323" i="2"/>
  <c r="N243" i="2"/>
  <c r="M243" i="2"/>
  <c r="N203" i="2"/>
  <c r="M203" i="2"/>
  <c r="N193" i="2"/>
  <c r="M193" i="2"/>
  <c r="M173" i="2"/>
  <c r="N173" i="2"/>
  <c r="M143" i="2"/>
  <c r="N143" i="2"/>
  <c r="N93" i="2"/>
  <c r="M93" i="2"/>
  <c r="N73" i="2"/>
  <c r="M73" i="2"/>
  <c r="N63" i="2"/>
  <c r="M63" i="2"/>
  <c r="M43" i="2"/>
  <c r="N43" i="2"/>
  <c r="M13" i="2"/>
  <c r="N13" i="2"/>
  <c r="N362" i="2"/>
  <c r="M362" i="2"/>
  <c r="N342" i="2"/>
  <c r="M342" i="2"/>
  <c r="N332" i="2"/>
  <c r="M332" i="2"/>
  <c r="N322" i="2"/>
  <c r="M322" i="2"/>
  <c r="N312" i="2"/>
  <c r="M312" i="2"/>
  <c r="N302" i="2"/>
  <c r="M302" i="2"/>
  <c r="N292" i="2"/>
  <c r="M292" i="2"/>
  <c r="N272" i="2"/>
  <c r="M272" i="2"/>
  <c r="N262" i="2"/>
  <c r="M262" i="2"/>
  <c r="N252" i="2"/>
  <c r="M252" i="2"/>
  <c r="N232" i="2"/>
  <c r="M232" i="2"/>
  <c r="N212" i="2"/>
  <c r="M212" i="2"/>
  <c r="N202" i="2"/>
  <c r="M202" i="2"/>
  <c r="N182" i="2"/>
  <c r="M182" i="2"/>
  <c r="N172" i="2"/>
  <c r="M172" i="2"/>
  <c r="N162" i="2"/>
  <c r="M162" i="2"/>
  <c r="N142" i="2"/>
  <c r="M142" i="2"/>
  <c r="N132" i="2"/>
  <c r="M132" i="2"/>
  <c r="N122" i="2"/>
  <c r="M122" i="2"/>
  <c r="N112" i="2"/>
  <c r="M112" i="2"/>
  <c r="N92" i="2"/>
  <c r="M92" i="2"/>
  <c r="N72" i="2"/>
  <c r="M72" i="2"/>
  <c r="N52" i="2"/>
  <c r="M52" i="2"/>
  <c r="N42" i="2"/>
  <c r="M42" i="2"/>
  <c r="N32" i="2"/>
  <c r="M32" i="2"/>
  <c r="N12" i="2"/>
  <c r="M12" i="2"/>
  <c r="N361" i="2"/>
  <c r="M361" i="2"/>
  <c r="M351" i="2"/>
  <c r="N351" i="2"/>
  <c r="M341" i="2"/>
  <c r="N341" i="2"/>
  <c r="N331" i="2"/>
  <c r="M331" i="2"/>
  <c r="N321" i="2"/>
  <c r="M321" i="2"/>
  <c r="N311" i="2"/>
  <c r="M311" i="2"/>
  <c r="M301" i="2"/>
  <c r="N301" i="2"/>
  <c r="N291" i="2"/>
  <c r="M291" i="2"/>
  <c r="N281" i="2"/>
  <c r="M281" i="2"/>
  <c r="N271" i="2"/>
  <c r="M271" i="2"/>
  <c r="N261" i="2"/>
  <c r="M261" i="2"/>
  <c r="M251" i="2"/>
  <c r="N251" i="2"/>
  <c r="M241" i="2"/>
  <c r="N241" i="2"/>
  <c r="N231" i="2"/>
  <c r="M231" i="2"/>
  <c r="M221" i="2"/>
  <c r="N221" i="2"/>
  <c r="N211" i="2"/>
  <c r="M211" i="2"/>
  <c r="N201" i="2"/>
  <c r="M201" i="2"/>
  <c r="N191" i="2"/>
  <c r="M191" i="2"/>
  <c r="N181" i="2"/>
  <c r="M181" i="2"/>
  <c r="M171" i="2"/>
  <c r="N171" i="2"/>
  <c r="N161" i="2"/>
  <c r="M161" i="2"/>
  <c r="N151" i="2"/>
  <c r="M151" i="2"/>
  <c r="M141" i="2"/>
  <c r="N141" i="2"/>
  <c r="N131" i="2"/>
  <c r="M131" i="2"/>
  <c r="N121" i="2"/>
  <c r="M121" i="2"/>
  <c r="N111" i="2"/>
  <c r="M111" i="2"/>
  <c r="M101" i="2"/>
  <c r="N101" i="2"/>
  <c r="N91" i="2"/>
  <c r="M91" i="2"/>
  <c r="N81" i="2"/>
  <c r="M81" i="2"/>
  <c r="M71" i="2"/>
  <c r="N71" i="2"/>
  <c r="N61" i="2"/>
  <c r="M61" i="2"/>
  <c r="N51" i="2"/>
  <c r="M51" i="2"/>
  <c r="N41" i="2"/>
  <c r="M41" i="2"/>
  <c r="M31" i="2"/>
  <c r="N31" i="2"/>
  <c r="N21" i="2"/>
  <c r="M21" i="2"/>
  <c r="M11" i="2"/>
  <c r="N11" i="2"/>
  <c r="M278" i="2"/>
  <c r="N278" i="2"/>
  <c r="M108" i="2"/>
  <c r="N108" i="2"/>
  <c r="N345" i="2"/>
  <c r="M345" i="2"/>
  <c r="N364" i="2"/>
  <c r="M364" i="2"/>
  <c r="N324" i="2"/>
  <c r="M324" i="2"/>
  <c r="N234" i="2"/>
  <c r="M234" i="2"/>
  <c r="N174" i="2"/>
  <c r="M174" i="2"/>
  <c r="M84" i="2"/>
  <c r="N84" i="2"/>
  <c r="N353" i="2"/>
  <c r="M353" i="2"/>
  <c r="N333" i="2"/>
  <c r="M333" i="2"/>
  <c r="N293" i="2"/>
  <c r="M293" i="2"/>
  <c r="N283" i="2"/>
  <c r="M283" i="2"/>
  <c r="N273" i="2"/>
  <c r="M273" i="2"/>
  <c r="M263" i="2"/>
  <c r="N263" i="2"/>
  <c r="M253" i="2"/>
  <c r="N253" i="2"/>
  <c r="N213" i="2"/>
  <c r="M213" i="2"/>
  <c r="M153" i="2"/>
  <c r="N153" i="2"/>
  <c r="N103" i="2"/>
  <c r="M103" i="2"/>
  <c r="N23" i="2"/>
  <c r="M23" i="2"/>
  <c r="N360" i="2"/>
  <c r="M360" i="2"/>
  <c r="M350" i="2"/>
  <c r="N350" i="2"/>
  <c r="M340" i="2"/>
  <c r="N340" i="2"/>
  <c r="N330" i="2"/>
  <c r="M330" i="2"/>
  <c r="N320" i="2"/>
  <c r="M320" i="2"/>
  <c r="N310" i="2"/>
  <c r="M310" i="2"/>
  <c r="M300" i="2"/>
  <c r="N300" i="2"/>
  <c r="N290" i="2"/>
  <c r="M290" i="2"/>
  <c r="N280" i="2"/>
  <c r="M280" i="2"/>
  <c r="N270" i="2"/>
  <c r="M270" i="2"/>
  <c r="N260" i="2"/>
  <c r="M260" i="2"/>
  <c r="N250" i="2"/>
  <c r="M250" i="2"/>
  <c r="M240" i="2"/>
  <c r="N240" i="2"/>
  <c r="N230" i="2"/>
  <c r="M230" i="2"/>
  <c r="M220" i="2"/>
  <c r="N220" i="2"/>
  <c r="N210" i="2"/>
  <c r="M210" i="2"/>
  <c r="N200" i="2"/>
  <c r="M200" i="2"/>
  <c r="N190" i="2"/>
  <c r="M190" i="2"/>
  <c r="N180" i="2"/>
  <c r="M180" i="2"/>
  <c r="N170" i="2"/>
  <c r="M170" i="2"/>
  <c r="N160" i="2"/>
  <c r="M160" i="2"/>
  <c r="N150" i="2"/>
  <c r="M150" i="2"/>
  <c r="N140" i="2"/>
  <c r="M140" i="2"/>
  <c r="N130" i="2"/>
  <c r="M130" i="2"/>
  <c r="N120" i="2"/>
  <c r="M120" i="2"/>
  <c r="N110" i="2"/>
  <c r="M110" i="2"/>
  <c r="M100" i="2"/>
  <c r="N100" i="2"/>
  <c r="N90" i="2"/>
  <c r="M90" i="2"/>
  <c r="N80" i="2"/>
  <c r="M80" i="2"/>
  <c r="N70" i="2"/>
  <c r="M70" i="2"/>
  <c r="N60" i="2"/>
  <c r="M60" i="2"/>
  <c r="N50" i="2"/>
  <c r="M50" i="2"/>
  <c r="N40" i="2"/>
  <c r="M40" i="2"/>
  <c r="M30" i="2"/>
  <c r="N30" i="2"/>
  <c r="N20" i="2"/>
  <c r="M20" i="2"/>
  <c r="N10" i="2"/>
  <c r="M10" i="2"/>
  <c r="A2" i="4" l="1" a="1"/>
  <c r="A21" i="6" a="1"/>
  <c r="A21" i="6" s="1"/>
  <c r="A2" i="4" l="1"/>
  <c r="D2" i="4" a="1"/>
  <c r="B2" i="4" a="1"/>
  <c r="B2" i="4" s="1"/>
  <c r="C2" i="4" a="1"/>
  <c r="C2" i="4" s="1"/>
  <c r="F2" i="4" a="1"/>
  <c r="F2" i="4" s="1"/>
  <c r="G2" i="4" a="1"/>
  <c r="G2" i="4" s="1"/>
  <c r="H2" i="4" a="1"/>
  <c r="H2" i="4" s="1"/>
  <c r="D2" i="4" l="1"/>
  <c r="E2" i="4" a="1"/>
  <c r="E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<sst xmlns="http://schemas.openxmlformats.org/spreadsheetml/2006/main" count="495" uniqueCount="58">
  <si>
    <t>Date</t>
  </si>
  <si>
    <t>Farmer_Type</t>
  </si>
  <si>
    <t>Income</t>
  </si>
  <si>
    <t>Irrigation</t>
  </si>
  <si>
    <t>Seeds</t>
  </si>
  <si>
    <t>Fertilizer</t>
  </si>
  <si>
    <t>Labor</t>
  </si>
  <si>
    <t>Household</t>
  </si>
  <si>
    <t>Medical</t>
  </si>
  <si>
    <t>Misc</t>
  </si>
  <si>
    <t>Total_Expenses</t>
  </si>
  <si>
    <t>Savings</t>
  </si>
  <si>
    <t>Traditional</t>
  </si>
  <si>
    <t>Smart</t>
  </si>
  <si>
    <t xml:space="preserve">Seeds </t>
  </si>
  <si>
    <t xml:space="preserve">Labour </t>
  </si>
  <si>
    <t xml:space="preserve">Medical </t>
  </si>
  <si>
    <t>TotalExpenses</t>
  </si>
  <si>
    <t>Month</t>
  </si>
  <si>
    <t>Year</t>
  </si>
  <si>
    <t>Farmer_Category_ID</t>
  </si>
  <si>
    <t>Savings_Rate</t>
  </si>
  <si>
    <t>Irrigation_Efficiency</t>
  </si>
  <si>
    <t>Daily_Risk_Score</t>
  </si>
  <si>
    <t>Month_End</t>
  </si>
  <si>
    <t>Total_Income</t>
  </si>
  <si>
    <t>Total_Savings</t>
  </si>
  <si>
    <t>Avg_Risk_Scores</t>
  </si>
  <si>
    <t>Traditional_Savings</t>
  </si>
  <si>
    <t>Smart_Savings</t>
  </si>
  <si>
    <t>Monthly Income vs Monthly Expenses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</si>
  <si>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</si>
  <si>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</si>
  <si>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</si>
  <si>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</si>
  <si>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</si>
  <si>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</si>
  <si>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</si>
  <si>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</si>
  <si>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</si>
  <si>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</si>
  <si>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</si>
  <si>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</si>
  <si>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</si>
  <si>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</si>
  <si>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Total_Income</t>
  </si>
  <si>
    <t>Sum of TotalExpenses</t>
  </si>
  <si>
    <t>Sum of Total_Savings</t>
  </si>
  <si>
    <t>(blank)</t>
  </si>
  <si>
    <t>Sum of Avg_Risk_Scores</t>
  </si>
  <si>
    <t>Sum of Traditional_Savings</t>
  </si>
  <si>
    <t>Sum of Smart_Savings</t>
  </si>
  <si>
    <t>Monthly Income vs Expenses</t>
  </si>
  <si>
    <t>Savings Trend (12-Month Projection)</t>
  </si>
  <si>
    <t>Smart vs Traditional Savings</t>
  </si>
  <si>
    <t>Average Monthly Risk Score Chart </t>
  </si>
  <si>
    <t>Expense_Total</t>
  </si>
  <si>
    <t>Sum of Expense_Total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</si>
</sst>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_([$INR]\ * #,##0.00_);_([$INR]\ * \(#,##0.00\);_([$INR]\ * &quot;-&quot;??_);_(@_)"/>
    <numFmt numFmtId="166" formatCode="[$INR]\ #,##0.00;[Red][$INR]\ #,##0.00"/>
    <numFmt numFmtId="167" formatCode="[$-F800]dddd\,\ mmmm\ dd\,\ yy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Helvetica Neue"/>
      <family val="2"/>
    </font>
    <font>
      <sz val="14"/>
      <color rgb="FF000000"/>
      <name val="-webkit-standard"/>
    </font>
    <font>
      <b/>
      <sz val="18"/>
      <color rgb="FF000000"/>
      <name val="Calibri (Body)"/>
    </font>
    <font>
      <b/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9" fontId="3" fillId="0" borderId="0" xfId="2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4" fillId="0" borderId="0" xfId="2" applyFont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4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9" fontId="0" fillId="0" borderId="0" xfId="2" applyFont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pivotButton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28"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6" formatCode="[$INR]\ #,##0.00;[Red][$INR]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4" formatCode="yyyy\-mm\-dd\ hh:mm:ss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B81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'!$B$18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'!$B$19:$B$31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17972.309999999998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1-2C46-8AED-9575639D5581}"/>
            </c:ext>
          </c:extLst>
        </c:ser>
        <c:ser>
          <c:idx val="1"/>
          <c:order val="1"/>
          <c:tx>
            <c:strRef>
              <c:f>'PROJECTION '!$C$18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'!$C$19:$C$31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14265.21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1-2C46-8AED-9575639D5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30495"/>
        <c:axId val="68131839"/>
      </c:barChart>
      <c:catAx>
        <c:axId val="681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1839"/>
        <c:crosses val="autoZero"/>
        <c:auto val="1"/>
        <c:lblAlgn val="ctr"/>
        <c:lblOffset val="100"/>
        <c:noMultiLvlLbl val="0"/>
      </c:catAx>
      <c:valAx>
        <c:axId val="681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INR]\ #,##0.00;[Red][$IN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Trend (12-Month Projection)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'PROJECTION 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'PROJECTION '!$A$35:$A$47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'!$B$35:$B$47</c:f>
              <c:numCache>
                <c:formatCode>_([$INR]\ * #,##0.00_);_([$INR]\ * \(#,##0.00\);_([$INR]\ * "-"??_);_(@_)</c:formatCode>
                <c:ptCount val="12"/>
                <c:pt idx="0">
                  <c:v>4144.9100000000008</c:v>
                </c:pt>
                <c:pt idx="1">
                  <c:v>4879.9900000000007</c:v>
                </c:pt>
                <c:pt idx="2">
                  <c:v>4365.1200000000008</c:v>
                </c:pt>
                <c:pt idx="3">
                  <c:v>3707.0400000000004</c:v>
                </c:pt>
                <c:pt idx="4">
                  <c:v>3618.5900000000006</c:v>
                </c:pt>
                <c:pt idx="5">
                  <c:v>4959.8999999999996</c:v>
                </c:pt>
                <c:pt idx="6">
                  <c:v>4363.16</c:v>
                </c:pt>
                <c:pt idx="7">
                  <c:v>5174.6400000000012</c:v>
                </c:pt>
                <c:pt idx="8">
                  <c:v>3366.83</c:v>
                </c:pt>
                <c:pt idx="9">
                  <c:v>5221.6799999999994</c:v>
                </c:pt>
                <c:pt idx="10">
                  <c:v>5960.8700000000026</c:v>
                </c:pt>
                <c:pt idx="11">
                  <c:v>5599.9300000000012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0-5048-BEC9-AD7DD43B6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36511"/>
        <c:axId val="68011327"/>
      </c:lineChart>
      <c:catAx>
        <c:axId val="6853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1327"/>
        <c:crosses val="autoZero"/>
        <c:auto val="1"/>
        <c:lblAlgn val="ctr"/>
        <c:lblOffset val="100"/>
        <c:noMultiLvlLbl val="0"/>
      </c:catAx>
      <c:valAx>
        <c:axId val="680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'!$B$53</c:f>
              <c:strCache>
                <c:ptCount val="1"/>
                <c:pt idx="0">
                  <c:v>Sum of Smart_Savings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'!$B$54:$B$66</c:f>
              <c:numCache>
                <c:formatCode>_([$INR]\ * #,##0.00_);_([$INR]\ * \(#,##0.00\);_([$INR]\ * "-"??_);_(@_)</c:formatCode>
                <c:ptCount val="12"/>
                <c:pt idx="0">
                  <c:v>6655.9900000000007</c:v>
                </c:pt>
                <c:pt idx="1">
                  <c:v>6066.6599999999989</c:v>
                </c:pt>
                <c:pt idx="2">
                  <c:v>6975.2400000000007</c:v>
                </c:pt>
                <c:pt idx="3">
                  <c:v>5979.0800000000008</c:v>
                </c:pt>
                <c:pt idx="4">
                  <c:v>6128.3799999999992</c:v>
                </c:pt>
                <c:pt idx="5">
                  <c:v>6670.44</c:v>
                </c:pt>
                <c:pt idx="6">
                  <c:v>6591.54</c:v>
                </c:pt>
                <c:pt idx="7">
                  <c:v>7128.0400000000009</c:v>
                </c:pt>
                <c:pt idx="8">
                  <c:v>5725.34</c:v>
                </c:pt>
                <c:pt idx="9">
                  <c:v>7227.92</c:v>
                </c:pt>
                <c:pt idx="10">
                  <c:v>7957.4500000000007</c:v>
                </c:pt>
                <c:pt idx="11">
                  <c:v>6988.7400000000007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7-E748-81AE-ED6114B6B8DA}"/>
            </c:ext>
          </c:extLst>
        </c:ser>
        <c:ser>
          <c:idx val="1"/>
          <c:order val="1"/>
          <c:tx>
            <c:strRef>
              <c:f>'PROJECTION '!$C$53</c:f>
              <c:strCache>
                <c:ptCount val="1"/>
                <c:pt idx="0">
                  <c:v>Sum of Traditional_Savings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'!$C$54:$C$66</c:f>
              <c:numCache>
                <c:formatCode>[$INR]\ #,##0.00;[Red][$INR]\ #,##0.00</c:formatCode>
                <c:ptCount val="12"/>
                <c:pt idx="0">
                  <c:v>-2511.08</c:v>
                </c:pt>
                <c:pt idx="1">
                  <c:v>-1186.67</c:v>
                </c:pt>
                <c:pt idx="2">
                  <c:v>-2610.1199999999994</c:v>
                </c:pt>
                <c:pt idx="3">
                  <c:v>-2272.0399999999995</c:v>
                </c:pt>
                <c:pt idx="4">
                  <c:v>-2509.79</c:v>
                </c:pt>
                <c:pt idx="5">
                  <c:v>-1710.5400000000004</c:v>
                </c:pt>
                <c:pt idx="6">
                  <c:v>-2228.3799999999997</c:v>
                </c:pt>
                <c:pt idx="7">
                  <c:v>-1953.3999999999999</c:v>
                </c:pt>
                <c:pt idx="8">
                  <c:v>-2358.5100000000002</c:v>
                </c:pt>
                <c:pt idx="9">
                  <c:v>-2006.2399999999998</c:v>
                </c:pt>
                <c:pt idx="10">
                  <c:v>-1996.5800000000002</c:v>
                </c:pt>
                <c:pt idx="11">
                  <c:v>-1388.8100000000002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7-E748-81AE-ED6114B6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549375"/>
        <c:axId val="89286271"/>
      </c:barChart>
      <c:catAx>
        <c:axId val="2815493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6271"/>
        <c:crosses val="autoZero"/>
        <c:auto val="1"/>
        <c:lblAlgn val="ctr"/>
        <c:lblOffset val="100"/>
        <c:noMultiLvlLbl val="0"/>
      </c:catAx>
      <c:valAx>
        <c:axId val="8928627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INR]\ * #,##0.00_);_([$INR]\ * \(#,##0.00\);_([$INR]\ 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Risk Score Chart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'PROJECTION '!$B$73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'PROJECTION 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'!$B$74:$B$86</c:f>
              <c:numCache>
                <c:formatCode>0.00</c:formatCode>
                <c:ptCount val="12"/>
                <c:pt idx="0">
                  <c:v>46.451612903225808</c:v>
                </c:pt>
                <c:pt idx="1">
                  <c:v>52.142857142857146</c:v>
                </c:pt>
                <c:pt idx="2">
                  <c:v>48.387096774193552</c:v>
                </c:pt>
                <c:pt idx="3">
                  <c:v>46</c:v>
                </c:pt>
                <c:pt idx="4">
                  <c:v>41.29032258064516</c:v>
                </c:pt>
                <c:pt idx="5">
                  <c:v>49.333333333333336</c:v>
                </c:pt>
                <c:pt idx="6">
                  <c:v>50.967741935483872</c:v>
                </c:pt>
                <c:pt idx="7">
                  <c:v>49.032258064516128</c:v>
                </c:pt>
                <c:pt idx="8">
                  <c:v>44</c:v>
                </c:pt>
                <c:pt idx="9">
                  <c:v>50.967741935483872</c:v>
                </c:pt>
                <c:pt idx="10">
                  <c:v>50</c:v>
                </c:pt>
                <c:pt idx="11">
                  <c:v>50.967741935483872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B-934E-81EE-59A3AA42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92095"/>
        <c:axId val="68243839"/>
      </c:lineChart>
      <c:catAx>
        <c:axId val="892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3839"/>
        <c:crosses val="autoZero"/>
        <c:auto val="1"/>
        <c:lblAlgn val="ctr"/>
        <c:lblOffset val="100"/>
        <c:noMultiLvlLbl val="0"/>
      </c:catAx>
      <c:valAx>
        <c:axId val="682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Expense_Total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'PROJECTION '!$B$88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D4-B94E-BDDB-746260E14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4-B94E-BDDB-746260E14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D4-B94E-BDDB-746260E142FE}"/>
              </c:ext>
            </c:extLst>
          </c:dPt>
          <c:cat>
            <c:strRef>
              <c:f>'PROJECTION '!$A$89:$A$92</c:f>
              <c:strCache>
                <c:ptCount val="3"/>
                <c:pt idx="0">
                  <c:v>Smart</c:v>
                </c:pt>
                <c:pt idx="1">
                  <c:v>Traditional</c:v>
                </c:pt>
                <c:pt idx="2">
                  <c:v>(blank)</c:v>
                </c:pt>
              </c:strCache>
            </c:strRef>
          </c:cat>
          <c:val>
            <c:numRef>
              <c:f>'PROJECTION '!$B$89:$B$92</c:f>
              <c:numCache>
                <c:formatCode>General</c:formatCode>
                <c:ptCount val="3"/>
                <c:pt idx="0">
                  <c:v>248670.12</c:v>
                </c:pt>
                <c:pt idx="1">
                  <c:v>158847.41999999998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5-2146-9872-1AE334647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B81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76635375851242"/>
          <c:y val="0.136476000844722"/>
          <c:w val="0.78693423023877651"/>
          <c:h val="0.77850484206715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'PROJECTION '!$B$18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rgbClr val="0B813C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'!$B$19:$B$31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17972.309999999998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6-0D46-B15D-B3AC0074D600}"/>
            </c:ext>
          </c:extLst>
        </c:ser>
        <c:ser>
          <c:idx val="1"/>
          <c:order val="1"/>
          <c:tx>
            <c:strRef>
              <c:f>'PROJECTION '!$C$18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'!$C$19:$C$31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14265.21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6-0D46-B15D-B3AC0074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7"/>
        <c:axId val="68130495"/>
        <c:axId val="68131839"/>
      </c:barChart>
      <c:catAx>
        <c:axId val="681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1839"/>
        <c:crosses val="autoZero"/>
        <c:auto val="1"/>
        <c:lblAlgn val="ctr"/>
        <c:lblOffset val="100"/>
        <c:noMultiLvlLbl val="0"/>
      </c:catAx>
      <c:valAx>
        <c:axId val="681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INR]\ #,##0.00;[Red][$IN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[GURHA_KUMAWTAN_FINANCIAL_DATASET.xlsx]PROJECTION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B813C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B813C"/>
                </a:solidFill>
              </a:rPr>
              <a:t>Savings Trend (12-Month Projection)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'PROJECTION 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'PROJECTION '!$A$35:$A$47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'!$B$35:$B$47</c:f>
              <c:numCache>
                <c:formatCode>_([$INR]\ * #,##0.00_);_([$INR]\ * \(#,##0.00\);_([$INR]\ * "-"??_);_(@_)</c:formatCode>
                <c:ptCount val="12"/>
                <c:pt idx="0">
                  <c:v>4144.9100000000008</c:v>
                </c:pt>
                <c:pt idx="1">
                  <c:v>4879.9900000000007</c:v>
                </c:pt>
                <c:pt idx="2">
                  <c:v>4365.1200000000008</c:v>
                </c:pt>
                <c:pt idx="3">
                  <c:v>3707.0400000000004</c:v>
                </c:pt>
                <c:pt idx="4">
                  <c:v>3618.5900000000006</c:v>
                </c:pt>
                <c:pt idx="5">
                  <c:v>4959.8999999999996</c:v>
                </c:pt>
                <c:pt idx="6">
                  <c:v>4363.16</c:v>
                </c:pt>
                <c:pt idx="7">
                  <c:v>5174.6400000000012</c:v>
                </c:pt>
                <c:pt idx="8">
                  <c:v>3366.83</c:v>
                </c:pt>
                <c:pt idx="9">
                  <c:v>5221.6799999999994</c:v>
                </c:pt>
                <c:pt idx="10">
                  <c:v>5960.8700000000026</c:v>
                </c:pt>
                <c:pt idx="11">
                  <c:v>5599.9300000000012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2-0049-90E6-BA8F3D88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6511"/>
        <c:axId val="68011327"/>
      </c:areaChart>
      <c:catAx>
        <c:axId val="6853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1327"/>
        <c:crosses val="autoZero"/>
        <c:auto val="1"/>
        <c:lblAlgn val="ctr"/>
        <c:lblOffset val="100"/>
        <c:noMultiLvlLbl val="0"/>
      </c:catAx>
      <c:valAx>
        <c:axId val="680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rgbClr val="0B813C"/>
                </a:solidFill>
              </a:rPr>
              <a:t>Smart vs Traditional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B81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'!$B$53</c:f>
              <c:strCache>
                <c:ptCount val="1"/>
                <c:pt idx="0">
                  <c:v>Sum of Smart_Savings</c:v>
                </c:pt>
              </c:strCache>
            </c:strRef>
          </c:tx>
          <c:spPr>
            <a:solidFill>
              <a:srgbClr val="0B813C"/>
            </a:soli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'!$B$54:$B$66</c:f>
              <c:numCache>
                <c:formatCode>_([$INR]\ * #,##0.00_);_([$INR]\ * \(#,##0.00\);_([$INR]\ * "-"??_);_(@_)</c:formatCode>
                <c:ptCount val="12"/>
                <c:pt idx="0">
                  <c:v>6655.9900000000007</c:v>
                </c:pt>
                <c:pt idx="1">
                  <c:v>6066.6599999999989</c:v>
                </c:pt>
                <c:pt idx="2">
                  <c:v>6975.2400000000007</c:v>
                </c:pt>
                <c:pt idx="3">
                  <c:v>5979.0800000000008</c:v>
                </c:pt>
                <c:pt idx="4">
                  <c:v>6128.3799999999992</c:v>
                </c:pt>
                <c:pt idx="5">
                  <c:v>6670.44</c:v>
                </c:pt>
                <c:pt idx="6">
                  <c:v>6591.54</c:v>
                </c:pt>
                <c:pt idx="7">
                  <c:v>7128.0400000000009</c:v>
                </c:pt>
                <c:pt idx="8">
                  <c:v>5725.34</c:v>
                </c:pt>
                <c:pt idx="9">
                  <c:v>7227.92</c:v>
                </c:pt>
                <c:pt idx="10">
                  <c:v>7957.4500000000007</c:v>
                </c:pt>
                <c:pt idx="11">
                  <c:v>6988.7400000000007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D-0C47-9F0B-D241B94B93C0}"/>
            </c:ext>
          </c:extLst>
        </c:ser>
        <c:ser>
          <c:idx val="1"/>
          <c:order val="1"/>
          <c:tx>
            <c:strRef>
              <c:f>'PROJECTION '!$C$53</c:f>
              <c:strCache>
                <c:ptCount val="1"/>
                <c:pt idx="0">
                  <c:v>Sum of Traditional_Savings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'!$C$54:$C$66</c:f>
              <c:numCache>
                <c:formatCode>[$INR]\ #,##0.00;[Red][$INR]\ #,##0.00</c:formatCode>
                <c:ptCount val="12"/>
                <c:pt idx="0">
                  <c:v>-2511.08</c:v>
                </c:pt>
                <c:pt idx="1">
                  <c:v>-1186.67</c:v>
                </c:pt>
                <c:pt idx="2">
                  <c:v>-2610.1199999999994</c:v>
                </c:pt>
                <c:pt idx="3">
                  <c:v>-2272.0399999999995</c:v>
                </c:pt>
                <c:pt idx="4">
                  <c:v>-2509.79</c:v>
                </c:pt>
                <c:pt idx="5">
                  <c:v>-1710.5400000000004</c:v>
                </c:pt>
                <c:pt idx="6">
                  <c:v>-2228.3799999999997</c:v>
                </c:pt>
                <c:pt idx="7">
                  <c:v>-1953.3999999999999</c:v>
                </c:pt>
                <c:pt idx="8">
                  <c:v>-2358.5100000000002</c:v>
                </c:pt>
                <c:pt idx="9">
                  <c:v>-2006.2399999999998</c:v>
                </c:pt>
                <c:pt idx="10">
                  <c:v>-1996.5800000000002</c:v>
                </c:pt>
                <c:pt idx="11">
                  <c:v>-1388.8100000000002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D-0C47-9F0B-D241B94B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81549375"/>
        <c:axId val="89286271"/>
      </c:barChart>
      <c:catAx>
        <c:axId val="28154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Finacncial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6271"/>
        <c:crosses val="autoZero"/>
        <c:auto val="1"/>
        <c:lblAlgn val="ctr"/>
        <c:lblOffset val="100"/>
        <c:noMultiLvlLbl val="0"/>
      </c:catAx>
      <c:valAx>
        <c:axId val="892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Smart and Traditiona; savings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B813C"/>
                </a:solidFill>
              </a:rPr>
              <a:t>Average Monthly Risk Score Chart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'PROJECTION 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cat>
            <c:strRef>
              <c:f>'PROJECTION 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'!$B$74:$B$86</c:f>
              <c:numCache>
                <c:formatCode>0.00</c:formatCode>
                <c:ptCount val="12"/>
                <c:pt idx="0">
                  <c:v>46.451612903225808</c:v>
                </c:pt>
                <c:pt idx="1">
                  <c:v>52.142857142857146</c:v>
                </c:pt>
                <c:pt idx="2">
                  <c:v>48.387096774193552</c:v>
                </c:pt>
                <c:pt idx="3">
                  <c:v>46</c:v>
                </c:pt>
                <c:pt idx="4">
                  <c:v>41.29032258064516</c:v>
                </c:pt>
                <c:pt idx="5">
                  <c:v>49.333333333333336</c:v>
                </c:pt>
                <c:pt idx="6">
                  <c:v>50.967741935483872</c:v>
                </c:pt>
                <c:pt idx="7">
                  <c:v>49.032258064516128</c:v>
                </c:pt>
                <c:pt idx="8">
                  <c:v>44</c:v>
                </c:pt>
                <c:pt idx="9">
                  <c:v>50.967741935483872</c:v>
                </c:pt>
                <c:pt idx="10">
                  <c:v>50</c:v>
                </c:pt>
                <c:pt idx="11">
                  <c:v>50.967741935483872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0-4342-836C-570C95F6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2095"/>
        <c:axId val="68243839"/>
      </c:areaChart>
      <c:catAx>
        <c:axId val="89292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3839"/>
        <c:crosses val="autoZero"/>
        <c:auto val="1"/>
        <c:lblAlgn val="ctr"/>
        <c:lblOffset val="100"/>
        <c:noMultiLvlLbl val="0"/>
      </c:catAx>
      <c:valAx>
        <c:axId val="682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[GURHA_KUMAWTAN_FINANCIAL_DATASET.xlsx]PROJECTION 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B813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B813C"/>
          </a:soli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7"/>
        <c:spPr>
          <a:solidFill>
            <a:srgbClr val="92D050"/>
          </a:soli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13182334658688247"/>
          <c:y val="0.23502950802680231"/>
          <c:w val="0.48757171318554021"/>
          <c:h val="0.760898607411161"/>
        </c:manualLayout>
      </c:layout>
      <c:doughnutChart>
        <c:varyColors val="1"/>
        <c:ser>
          <c:idx val="0"/>
          <c:order val="0"/>
          <c:tx>
            <c:strRef>
              <c:f>'PROJECTION '!$B$88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shade val="15000"/>
                </a:schemeClr>
              </a:solidFill>
            </a:ln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dPt>
            <c:idx val="0"/>
            <c:bubble3D val="0"/>
            <c:spPr>
              <a:solidFill>
                <a:srgbClr val="0B813C"/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EFD0-4C4F-9DC7-69DED4EB9C5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EFD0-4C4F-9DC7-69DED4EB9C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EFD0-4C4F-9DC7-69DED4EB9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'PROJECTION '!$A$89:$A$92</c:f>
              <c:strCache>
                <c:ptCount val="3"/>
                <c:pt idx="0">
                  <c:v>Smart</c:v>
                </c:pt>
                <c:pt idx="1">
                  <c:v>Traditional</c:v>
                </c:pt>
                <c:pt idx="2">
                  <c:v>(blank)</c:v>
                </c:pt>
              </c:strCache>
            </c:strRef>
          </c:cat>
          <c:val>
            <c:numRef>
              <c:f>'PROJECTION '!$B$89:$B$92</c:f>
              <c:numCache>
                <c:formatCode>General</c:formatCode>
                <c:ptCount val="3"/>
                <c:pt idx="0">
                  <c:v>248670.12</c:v>
                </c:pt>
                <c:pt idx="1">
                  <c:v>158847.41999999998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0-4C4F-9DC7-69DED4EB9C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B813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[GURHA_KUMAWTAN_FINANCIAL_DATASET.xlsx]Pivot Tables and 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Charts'!$B$3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Charts'!$B$4:$B$16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4942.6000000000004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F-0746-9371-08230209576F}"/>
            </c:ext>
          </c:extLst>
        </c:ser>
        <c:ser>
          <c:idx val="1"/>
          <c:order val="1"/>
          <c:tx>
            <c:strRef>
              <c:f>'Pivot Tables and Charts'!$C$3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Charts'!$C$4:$C$16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5315.48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F-0746-9371-082302095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885759"/>
        <c:axId val="329887551"/>
      </c:barChart>
      <c:catAx>
        <c:axId val="32988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87551"/>
        <c:crosses val="autoZero"/>
        <c:auto val="1"/>
        <c:lblAlgn val="ctr"/>
        <c:lblOffset val="100"/>
        <c:noMultiLvlLbl val="0"/>
      </c:catAx>
      <c:valAx>
        <c:axId val="3298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8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16</xdr:row>
      <xdr:rowOff>298450</xdr:rowOff>
    </xdr:from>
    <xdr:to>
      <xdr:col>8</xdr:col>
      <xdr:colOff>768350</xdr:colOff>
      <xdr:row>31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9AD93E-05DB-4D9C-68F9-B9BFB5EC7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996950</xdr:colOff>
      <xdr:row>33</xdr:row>
      <xdr:rowOff>44450</xdr:rowOff>
    </xdr:from>
    <xdr:to>
      <xdr:col>6</xdr:col>
      <xdr:colOff>31750</xdr:colOff>
      <xdr:row>47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2A6955-A4B2-5F68-7887-3ECBB19BB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549475</xdr:colOff>
      <xdr:row>51</xdr:row>
      <xdr:rowOff>29233</xdr:rowOff>
    </xdr:from>
    <xdr:to>
      <xdr:col>7</xdr:col>
      <xdr:colOff>215465</xdr:colOff>
      <xdr:row>67</xdr:row>
      <xdr:rowOff>162584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DFC36A-D24B-3C79-6B82-94217FBC4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774584</xdr:colOff>
      <xdr:row>71</xdr:row>
      <xdr:rowOff>64301</xdr:rowOff>
    </xdr:from>
    <xdr:to>
      <xdr:col>5</xdr:col>
      <xdr:colOff>872981</xdr:colOff>
      <xdr:row>85</xdr:row>
      <xdr:rowOff>84437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1EA7E7-28C3-7DC0-CF4D-37AF36F7F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488549</xdr:colOff>
      <xdr:row>88</xdr:row>
      <xdr:rowOff>7095</xdr:rowOff>
    </xdr:from>
    <xdr:to>
      <xdr:col>5</xdr:col>
      <xdr:colOff>586945</xdr:colOff>
      <xdr:row>102</xdr:row>
      <xdr:rowOff>27232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01154C-F427-CCFA-4671-C03BDF099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1327207</xdr:colOff>
      <xdr:row>24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2F936C-2CC1-14EC-6638-0F2D9DAC5087}"/>
            </a:ext>
          </a:extLst>
        </xdr:cNvPr>
        <xdr:cNvSpPr txBox="1"/>
      </xdr:nvSpPr>
      <xdr:spPr>
        <a:xfrm>
          <a:off x="5263063" y="47825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118533</xdr:rowOff>
    </xdr:from>
    <xdr:to>
      <xdr:col>3</xdr:col>
      <xdr:colOff>694266</xdr:colOff>
      <xdr:row>10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5321673-3B53-CF65-6465-7D334B516097}"/>
            </a:ext>
          </a:extLst>
        </xdr:cNvPr>
        <xdr:cNvSpPr/>
      </xdr:nvSpPr>
      <xdr:spPr>
        <a:xfrm>
          <a:off x="0" y="677333"/>
          <a:ext cx="3183466" cy="11853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tx1"/>
              </a:solidFill>
            </a:rPr>
            <a:t>Total</a:t>
          </a:r>
          <a:r>
            <a:rPr lang="en-US" sz="1800" baseline="0">
              <a:solidFill>
                <a:schemeClr val="tx1"/>
              </a:solidFill>
            </a:rPr>
            <a:t> Income</a:t>
          </a:r>
          <a:br>
            <a:rPr lang="en-US" sz="1800" baseline="0">
              <a:solidFill>
                <a:schemeClr val="tx1"/>
              </a:solidFill>
            </a:rPr>
          </a:br>
          <a:br>
            <a:rPr lang="en-US" sz="1600" baseline="0">
              <a:solidFill>
                <a:schemeClr val="tx1"/>
              </a:solidFill>
            </a:rPr>
          </a:br>
          <a:r>
            <a:rPr lang="en-US" sz="1600" baseline="0">
              <a:solidFill>
                <a:schemeClr val="tx1"/>
              </a:solidFill>
            </a:rPr>
            <a:t> </a:t>
          </a:r>
          <a:r>
            <a:rPr lang="en-US" sz="20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</a:t>
          </a:r>
          <a:r>
            <a:rPr lang="en-US" sz="2000" b="0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231,440.08</a:t>
          </a:r>
          <a:r>
            <a:rPr lang="en-US" sz="2000" b="0">
              <a:solidFill>
                <a:srgbClr val="0B813C"/>
              </a:solidFill>
              <a:effectLst/>
            </a:rPr>
            <a:t> </a:t>
          </a:r>
          <a:endParaRPr lang="en-US" sz="1600" b="0">
            <a:solidFill>
              <a:srgbClr val="0B813C"/>
            </a:solidFill>
            <a:effectLst/>
          </a:endParaRPr>
        </a:p>
        <a:p>
          <a:pPr algn="ctr"/>
          <a:endParaRPr lang="en-US" sz="16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440266</xdr:colOff>
      <xdr:row>3</xdr:row>
      <xdr:rowOff>128023</xdr:rowOff>
    </xdr:from>
    <xdr:to>
      <xdr:col>12</xdr:col>
      <xdr:colOff>33867</xdr:colOff>
      <xdr:row>10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838976E-2AEC-07C1-3237-96A31AC5BBB8}"/>
            </a:ext>
          </a:extLst>
        </xdr:cNvPr>
        <xdr:cNvSpPr/>
      </xdr:nvSpPr>
      <xdr:spPr>
        <a:xfrm>
          <a:off x="7078133" y="686823"/>
          <a:ext cx="2912534" cy="117584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Total Expense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br>
            <a:rPr lang="en-US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u="none" strike="noStrike" baseline="0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176,077.40 </a:t>
          </a:r>
          <a:endParaRPr lang="en-US" sz="2400">
            <a:solidFill>
              <a:srgbClr val="0B813C"/>
            </a:solidFill>
            <a:effectLst/>
          </a:endParaRPr>
        </a:p>
        <a:p>
          <a:pPr algn="ctr"/>
          <a:r>
            <a:rPr lang="en-US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3</xdr:col>
      <xdr:colOff>745067</xdr:colOff>
      <xdr:row>3</xdr:row>
      <xdr:rowOff>126657</xdr:rowOff>
    </xdr:from>
    <xdr:to>
      <xdr:col>8</xdr:col>
      <xdr:colOff>372533</xdr:colOff>
      <xdr:row>10</xdr:row>
      <xdr:rowOff>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3C5AC457-6B43-96C6-9D3B-8ABD8D10348A}"/>
            </a:ext>
          </a:extLst>
        </xdr:cNvPr>
        <xdr:cNvSpPr/>
      </xdr:nvSpPr>
      <xdr:spPr>
        <a:xfrm>
          <a:off x="3234267" y="685457"/>
          <a:ext cx="3776133" cy="117721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Total Savings</a:t>
          </a:r>
          <a:br>
            <a:rPr lang="en-US" sz="1600">
              <a:solidFill>
                <a:schemeClr val="tx1"/>
              </a:solidFill>
            </a:rPr>
          </a:br>
          <a:br>
            <a:rPr lang="en-US" sz="1400">
              <a:solidFill>
                <a:schemeClr val="tx1"/>
              </a:solidFill>
            </a:rPr>
          </a:b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INR  55,362.66</a:t>
          </a:r>
          <a:r>
            <a:rPr lang="en-US" sz="1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solidFill>
              <a:srgbClr val="0B813C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186267</xdr:colOff>
      <xdr:row>3</xdr:row>
      <xdr:rowOff>107435</xdr:rowOff>
    </xdr:from>
    <xdr:to>
      <xdr:col>13</xdr:col>
      <xdr:colOff>762000</xdr:colOff>
      <xdr:row>9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8DA0060D-3BE1-15E8-FC42-2C95088996C7}"/>
            </a:ext>
          </a:extLst>
        </xdr:cNvPr>
        <xdr:cNvSpPr/>
      </xdr:nvSpPr>
      <xdr:spPr>
        <a:xfrm>
          <a:off x="10143067" y="666235"/>
          <a:ext cx="1405466" cy="11625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Savings Rate (%)</a:t>
          </a:r>
          <a:br>
            <a:rPr lang="en-US" sz="1200">
              <a:solidFill>
                <a:schemeClr val="tx1"/>
              </a:solidFill>
            </a:rPr>
          </a:br>
          <a:r>
            <a:rPr lang="en-US" sz="2400">
              <a:solidFill>
                <a:schemeClr val="tx1"/>
              </a:solidFill>
            </a:rPr>
            <a:t>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24%</a:t>
          </a:r>
          <a:r>
            <a:rPr lang="en-US" sz="2400" b="1">
              <a:solidFill>
                <a:srgbClr val="0B813C"/>
              </a:solidFill>
              <a:effectLst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33866</xdr:colOff>
      <xdr:row>3</xdr:row>
      <xdr:rowOff>130235</xdr:rowOff>
    </xdr:from>
    <xdr:to>
      <xdr:col>16</xdr:col>
      <xdr:colOff>240408</xdr:colOff>
      <xdr:row>9</xdr:row>
      <xdr:rowOff>152400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13F1A1FE-B5C0-A158-19E2-6F16581C3425}"/>
            </a:ext>
          </a:extLst>
        </xdr:cNvPr>
        <xdr:cNvSpPr/>
      </xdr:nvSpPr>
      <xdr:spPr>
        <a:xfrm>
          <a:off x="11650133" y="689035"/>
          <a:ext cx="1866008" cy="11397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Average Monthly Risk Score</a:t>
          </a:r>
          <a:br>
            <a:rPr lang="en-US" sz="1100">
              <a:solidFill>
                <a:schemeClr val="tx1"/>
              </a:solidFill>
            </a:rPr>
          </a:br>
          <a:r>
            <a:rPr lang="en-US" sz="18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579.54</a:t>
          </a:r>
          <a:r>
            <a:rPr lang="en-US" sz="1800">
              <a:solidFill>
                <a:srgbClr val="0B813C"/>
              </a:solidFill>
              <a:effectLst/>
            </a:rPr>
            <a:t> </a:t>
          </a:r>
        </a:p>
        <a:p>
          <a:pPr algn="ctr"/>
          <a:endParaRPr lang="en-US" sz="1100">
            <a:solidFill>
              <a:schemeClr val="tx1"/>
            </a:solidFill>
          </a:endParaRPr>
        </a:p>
        <a:p>
          <a:pPr algn="ctr"/>
          <a:r>
            <a:rPr lang="en-US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16</xdr:col>
      <xdr:colOff>338668</xdr:colOff>
      <xdr:row>3</xdr:row>
      <xdr:rowOff>107121</xdr:rowOff>
    </xdr:from>
    <xdr:to>
      <xdr:col>21</xdr:col>
      <xdr:colOff>778933</xdr:colOff>
      <xdr:row>9</xdr:row>
      <xdr:rowOff>152400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ACB8280A-FEC2-F8B0-761C-CEB2267C5C3D}"/>
            </a:ext>
          </a:extLst>
        </xdr:cNvPr>
        <xdr:cNvSpPr/>
      </xdr:nvSpPr>
      <xdr:spPr>
        <a:xfrm>
          <a:off x="13614401" y="665921"/>
          <a:ext cx="4588932" cy="11628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Annual Savings Advantage Smart vs Traditional)</a:t>
          </a:r>
          <a:b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</a:rPr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  104,826.98 </a:t>
          </a:r>
          <a:endParaRPr lang="en-US" sz="2400" b="1">
            <a:solidFill>
              <a:srgbClr val="0B813C"/>
            </a:solidFill>
            <a:effectLst/>
          </a:endParaRPr>
        </a:p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299961</xdr:colOff>
      <xdr:row>30</xdr:row>
      <xdr:rowOff>113091</xdr:rowOff>
    </xdr:from>
    <xdr:to>
      <xdr:col>12</xdr:col>
      <xdr:colOff>203691</xdr:colOff>
      <xdr:row>47</xdr:row>
      <xdr:rowOff>86480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F2A3F90-615D-E849-960D-E2E833C81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270933</xdr:colOff>
      <xdr:row>14</xdr:row>
      <xdr:rowOff>8466</xdr:rowOff>
    </xdr:from>
    <xdr:to>
      <xdr:col>22</xdr:col>
      <xdr:colOff>0</xdr:colOff>
      <xdr:row>30</xdr:row>
      <xdr:rowOff>116114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2DCA18-DED2-704F-BA8B-B2C0E990A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179534</xdr:rowOff>
    </xdr:from>
    <xdr:to>
      <xdr:col>12</xdr:col>
      <xdr:colOff>270933</xdr:colOff>
      <xdr:row>30</xdr:row>
      <xdr:rowOff>98839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FFFFE37-12BD-914C-926E-5BCEEC877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197757</xdr:colOff>
      <xdr:row>30</xdr:row>
      <xdr:rowOff>106120</xdr:rowOff>
    </xdr:from>
    <xdr:to>
      <xdr:col>21</xdr:col>
      <xdr:colOff>725715</xdr:colOff>
      <xdr:row>47</xdr:row>
      <xdr:rowOff>64104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CFAF18-7885-8942-B30B-747760B06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33922</xdr:rowOff>
    </xdr:from>
    <xdr:to>
      <xdr:col>6</xdr:col>
      <xdr:colOff>389466</xdr:colOff>
      <xdr:row>47</xdr:row>
      <xdr:rowOff>25399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A992809-D232-6B48-9373-ADFF9AAA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665239</xdr:colOff>
      <xdr:row>1</xdr:row>
      <xdr:rowOff>0</xdr:rowOff>
    </xdr:from>
    <xdr:ext cx="184731" cy="2644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E17B4F-B36C-B4CC-0E50-B4A711331F52}"/>
            </a:ext>
          </a:extLst>
        </xdr:cNvPr>
        <xdr:cNvSpPr txBox="1"/>
      </xdr:nvSpPr>
      <xdr:spPr>
        <a:xfrm>
          <a:off x="3991429" y="196548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</xdr:colOff>
      <xdr:row>0</xdr:row>
      <xdr:rowOff>15119</xdr:rowOff>
    </xdr:from>
    <xdr:to>
      <xdr:col>22</xdr:col>
      <xdr:colOff>0</xdr:colOff>
      <xdr:row>3</xdr:row>
      <xdr:rowOff>67733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90DD02D-23F0-1AC2-0FE9-2732CA7307CF}"/>
            </a:ext>
          </a:extLst>
        </xdr:cNvPr>
        <xdr:cNvSpPr txBox="1">
          <a:spLocks noChangeArrowheads="1"/>
        </xdr:cNvSpPr>
      </xdr:nvSpPr>
      <xdr:spPr bwMode="auto">
        <a:xfrm>
          <a:off x="1" y="15119"/>
          <a:ext cx="18254132" cy="611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 🌾 Rural Financial Health Simulator – Gurha Kumawatan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31750</xdr:rowOff>
    </xdr:from>
    <xdr:to>
      <xdr:col>8</xdr:col>
      <xdr:colOff>711200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B598E-7ACB-9349-DB5A-09878F5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526267939815" createdVersion="8" refreshedVersion="8" minRefreshableVersion="3" recordCount="12" xr:uid="{0643AA47-D74E-FB46-8F49-4D5A589F0E31}">
  <cacheSource type="worksheet">
    <worksheetSource ref="A21:C33" sheet="PROJECTION "/>
  </cacheSource>
  <cacheFields count="3">
    <cacheField name="Month_End" numFmtId="167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Total_Income" numFmtId="166">
      <sharedItems containsSemiMixedTypes="0" containsString="0" containsNumber="1" minValue="5315.48" maxValue="20464.309999999998"/>
    </cacheField>
    <cacheField name="TotalExpenses" numFmtId="165">
      <sharedItems containsSemiMixedTypes="0" containsString="0" containsNumber="1" minValue="4942.6000000000004" maxValue="15289.64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534765046294" createdVersion="8" refreshedVersion="8" minRefreshableVersion="3" recordCount="12" xr:uid="{73D47BDF-3458-574E-9ACC-D70110664343}">
  <cacheSource type="worksheet">
    <worksheetSource ref="A1:H13" sheet="PROJECTION "/>
  </cacheSource>
  <cacheFields count="8">
    <cacheField name="Month_End" numFmtId="167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Total_Income" numFmtId="166">
      <sharedItems containsSemiMixedTypes="0" containsString="0" containsNumber="1" minValue="17972.309999999998" maxValue="20464.309999999998"/>
    </cacheField>
    <cacheField name="TotalExpenses" numFmtId="165">
      <sharedItems containsSemiMixedTypes="0" containsString="0" containsNumber="1" minValue="13467.360000000002" maxValue="15289.649999999998"/>
    </cacheField>
    <cacheField name="Total_Savings" numFmtId="165">
      <sharedItems containsSemiMixedTypes="0" containsString="0" containsNumber="1" minValue="3366.83" maxValue="5960.8700000000026"/>
    </cacheField>
    <cacheField name="Savings_Rate" numFmtId="9">
      <sharedItems containsSemiMixedTypes="0" containsString="0" containsNumber="1" minValue="0.18594510945744588" maxValue="0.29350243039689927"/>
    </cacheField>
    <cacheField name="Avg_Risk_Scores" numFmtId="2">
      <sharedItems containsSemiMixedTypes="0" containsString="0" containsNumber="1" minValue="41.29032258064516" maxValue="52.142857142857146"/>
    </cacheField>
    <cacheField name="Traditional_Savings" numFmtId="166">
      <sharedItems containsSemiMixedTypes="0" containsString="0" containsNumber="1" minValue="-2610.1199999999994" maxValue="-1186.67"/>
    </cacheField>
    <cacheField name="Smart_Savings" numFmtId="165">
      <sharedItems containsSemiMixedTypes="0" containsString="0" containsNumber="1" minValue="5725.34" maxValue="7957.45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726975115744" createdVersion="8" refreshedVersion="8" minRefreshableVersion="3" recordCount="428" xr:uid="{46B94805-8B34-9042-B9C6-939EBF690BA5}">
  <cacheSource type="worksheet">
    <worksheetSource ref="A1:S1048576" sheet="CLEAN_DATA"/>
  </cacheSource>
  <cacheFields count="19">
    <cacheField name="Date" numFmtId="0">
      <sharedItems containsNonDate="0" containsDate="1" containsString="0" containsBlank="1" minDate="2024-04-01T00:00:00" maxDate="2025-04-01T00:00:00"/>
    </cacheField>
    <cacheField name="Farmer_Type" numFmtId="0">
      <sharedItems containsBlank="1" count="3">
        <s v="Traditional"/>
        <s v="Smart"/>
        <m/>
      </sharedItems>
    </cacheField>
    <cacheField name="Income" numFmtId="165">
      <sharedItems containsString="0" containsBlank="1" containsNumber="1" minValue="199.02" maxValue="1432.52"/>
    </cacheField>
    <cacheField name="Irrigation" numFmtId="165">
      <sharedItems containsString="0" containsBlank="1" containsNumber="1" minValue="2.88" maxValue="108.53"/>
    </cacheField>
    <cacheField name="Seeds " numFmtId="165">
      <sharedItems containsString="0" containsBlank="1" containsNumber="1" minValue="0.7" maxValue="102.88"/>
    </cacheField>
    <cacheField name="Fertilizer" numFmtId="165">
      <sharedItems containsString="0" containsBlank="1" containsNumber="1" minValue="-8.2100000000000009" maxValue="162.79"/>
    </cacheField>
    <cacheField name="Labour " numFmtId="165">
      <sharedItems containsString="0" containsBlank="1" containsNumber="1" minValue="40.049999999999997" maxValue="170.09"/>
    </cacheField>
    <cacheField name="Household" numFmtId="165">
      <sharedItems containsString="0" containsBlank="1" containsNumber="1" minValue="63.11" maxValue="279.82"/>
    </cacheField>
    <cacheField name="Medical " numFmtId="165">
      <sharedItems containsString="0" containsBlank="1" containsNumber="1" minValue="-5.93" maxValue="45.8"/>
    </cacheField>
    <cacheField name="Misc" numFmtId="165">
      <sharedItems containsString="0" containsBlank="1" containsNumber="1" minValue="-5.0599999999999996" maxValue="77.11"/>
    </cacheField>
    <cacheField name="TotalExpenses" numFmtId="165">
      <sharedItems containsString="0" containsBlank="1" containsNumber="1" minValue="340.64" maxValue="623.16999999999996"/>
    </cacheField>
    <cacheField name="Savings" numFmtId="166">
      <sharedItems containsString="0" containsBlank="1" containsNumber="1" minValue="-314.87" maxValue="989.59"/>
    </cacheField>
    <cacheField name="Month" numFmtId="0">
      <sharedItems containsBlank="1"/>
    </cacheField>
    <cacheField name="Year" numFmtId="0">
      <sharedItems containsString="0" containsBlank="1" containsNumber="1" containsInteger="1" minValue="2024" maxValue="2025"/>
    </cacheField>
    <cacheField name="Farmer_Category_ID" numFmtId="0">
      <sharedItems containsString="0" containsBlank="1" containsNumber="1" containsInteger="1" minValue="0" maxValue="1"/>
    </cacheField>
    <cacheField name="Savings_Rate" numFmtId="9">
      <sharedItems containsString="0" containsBlank="1" containsNumber="1" minValue="-1.5821023012762536" maxValue="0.74391839066634591"/>
    </cacheField>
    <cacheField name="Irrigation_Efficiency" numFmtId="9">
      <sharedItems containsString="0" containsBlank="1" containsNumber="1" minValue="0.27646666666666664" maxValue="0.95885714285714285"/>
    </cacheField>
    <cacheField name="Daily_Risk_Score" numFmtId="0">
      <sharedItems containsString="0" containsBlank="1" containsNumber="1" containsInteger="1" minValue="20" maxValue="80"/>
    </cacheField>
    <cacheField name="Expense_Total" numFmtId="0">
      <sharedItems containsString="0" containsBlank="1" containsNumber="1" minValue="662.75" maxValue="1935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315.48"/>
    <n v="4942.6000000000004"/>
  </r>
  <r>
    <x v="1"/>
    <n v="18313.290000000008"/>
    <n v="14694.680000000004"/>
  </r>
  <r>
    <x v="2"/>
    <n v="19232.719999999998"/>
    <n v="14272.810000000003"/>
  </r>
  <r>
    <x v="3"/>
    <n v="19605.400000000001"/>
    <n v="15242.26"/>
  </r>
  <r>
    <x v="4"/>
    <n v="20464.309999999998"/>
    <n v="15289.649999999998"/>
  </r>
  <r>
    <x v="5"/>
    <n v="18106.579999999998"/>
    <n v="14739.78"/>
  </r>
  <r>
    <x v="6"/>
    <n v="20450.91"/>
    <n v="15229.199999999997"/>
  </r>
  <r>
    <x v="7"/>
    <n v="20309.440000000002"/>
    <n v="14348.61"/>
  </r>
  <r>
    <x v="8"/>
    <n v="20320.510000000006"/>
    <n v="14720.56"/>
  </r>
  <r>
    <x v="9"/>
    <n v="19083.299999999996"/>
    <n v="14938.420000000002"/>
  </r>
  <r>
    <x v="10"/>
    <n v="18347.330000000002"/>
    <n v="13467.360000000002"/>
  </r>
  <r>
    <x v="11"/>
    <n v="19233.980000000003"/>
    <n v="14868.85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7972.309999999998"/>
    <n v="14265.21"/>
    <n v="3707.0400000000004"/>
    <n v="0.20626396940627004"/>
    <n v="46"/>
    <n v="-2272.0399999999995"/>
    <n v="5979.0800000000008"/>
  </r>
  <r>
    <x v="1"/>
    <n v="18313.290000000008"/>
    <n v="14694.680000000004"/>
    <n v="3618.5900000000006"/>
    <n v="0.19759366012333116"/>
    <n v="41.29032258064516"/>
    <n v="-2509.79"/>
    <n v="6128.3799999999992"/>
  </r>
  <r>
    <x v="2"/>
    <n v="19232.719999999998"/>
    <n v="14272.810000000003"/>
    <n v="4959.8999999999996"/>
    <n v="0.2578886397763811"/>
    <n v="49.333333333333336"/>
    <n v="-1710.5400000000004"/>
    <n v="6670.44"/>
  </r>
  <r>
    <x v="3"/>
    <n v="19605.400000000001"/>
    <n v="15242.26"/>
    <n v="4363.16"/>
    <n v="0.2225488895916431"/>
    <n v="50.967741935483872"/>
    <n v="-2228.3799999999997"/>
    <n v="6591.54"/>
  </r>
  <r>
    <x v="4"/>
    <n v="20464.309999999998"/>
    <n v="15289.649999999998"/>
    <n v="5174.6400000000012"/>
    <n v="0.25286168944860599"/>
    <n v="49.032258064516128"/>
    <n v="-1953.3999999999999"/>
    <n v="7128.0400000000009"/>
  </r>
  <r>
    <x v="5"/>
    <n v="18106.579999999998"/>
    <n v="14739.78"/>
    <n v="3366.83"/>
    <n v="0.18594510945744588"/>
    <n v="44"/>
    <n v="-2358.5100000000002"/>
    <n v="5725.34"/>
  </r>
  <r>
    <x v="6"/>
    <n v="20450.91"/>
    <n v="15229.199999999997"/>
    <n v="5221.6799999999994"/>
    <n v="0.2553275135434071"/>
    <n v="50.967741935483872"/>
    <n v="-2006.2399999999998"/>
    <n v="7227.92"/>
  </r>
  <r>
    <x v="7"/>
    <n v="20309.440000000002"/>
    <n v="14348.61"/>
    <n v="5960.8700000000026"/>
    <n v="0.29350243039689927"/>
    <n v="50"/>
    <n v="-1996.5800000000002"/>
    <n v="7957.4500000000007"/>
  </r>
  <r>
    <x v="8"/>
    <n v="20320.510000000006"/>
    <n v="14720.56"/>
    <n v="5599.9300000000012"/>
    <n v="0.2755801896704364"/>
    <n v="50.967741935483872"/>
    <n v="-1388.8100000000002"/>
    <n v="6988.7400000000007"/>
  </r>
  <r>
    <x v="9"/>
    <n v="19083.299999999996"/>
    <n v="14938.420000000002"/>
    <n v="4144.9100000000008"/>
    <n v="0.21720090340769163"/>
    <n v="46.451612903225808"/>
    <n v="-2511.08"/>
    <n v="6655.9900000000007"/>
  </r>
  <r>
    <x v="10"/>
    <n v="18347.330000000002"/>
    <n v="13467.360000000002"/>
    <n v="4879.9900000000007"/>
    <n v="0.26597821045351017"/>
    <n v="52.142857142857146"/>
    <n v="-1186.67"/>
    <n v="6066.6599999999989"/>
  </r>
  <r>
    <x v="11"/>
    <n v="19233.980000000003"/>
    <n v="14868.859999999997"/>
    <n v="4365.1200000000008"/>
    <n v="0.22694834870370043"/>
    <n v="48.387096774193552"/>
    <n v="-2610.1199999999994"/>
    <n v="6975.240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">
  <r>
    <d v="2024-04-01T00:00:00"/>
    <x v="0"/>
    <n v="374.84"/>
    <n v="68.62"/>
    <n v="49.72"/>
    <n v="85.46"/>
    <n v="104.15"/>
    <n v="142.97999999999999"/>
    <n v="32.630000000000003"/>
    <n v="39.21"/>
    <n v="522.76"/>
    <n v="-147.91999999999999"/>
    <s v="Apr"/>
    <n v="2024"/>
    <n v="1"/>
    <n v="-0.39462170526091134"/>
    <n v="0.54253333333333331"/>
    <n v="20"/>
    <n v="897.61"/>
  </r>
  <r>
    <d v="2024-04-02T00:00:00"/>
    <x v="1"/>
    <n v="856.11"/>
    <n v="17.71"/>
    <n v="50.73"/>
    <n v="66.03"/>
    <n v="99.84"/>
    <n v="103.04"/>
    <n v="6.48"/>
    <n v="31.57"/>
    <n v="375.39"/>
    <n v="480.72"/>
    <s v="Apr"/>
    <n v="2024"/>
    <n v="0"/>
    <n v="0.56151662753618115"/>
    <n v="0.747"/>
    <n v="80"/>
    <n v="1231.51"/>
  </r>
  <r>
    <d v="2024-04-03T00:00:00"/>
    <x v="0"/>
    <n v="299.36"/>
    <n v="73.14"/>
    <n v="26.38"/>
    <n v="26.75"/>
    <n v="146.63999999999999"/>
    <n v="143.22999999999999"/>
    <n v="20.54"/>
    <n v="12.9"/>
    <n v="449.59"/>
    <n v="-150.22999999999999"/>
    <s v="Apr"/>
    <n v="2024"/>
    <n v="1"/>
    <n v="-0.50183725280598601"/>
    <n v="0.51239999999999997"/>
    <n v="20"/>
    <n v="748.93999999999994"/>
  </r>
  <r>
    <d v="2024-04-04T00:00:00"/>
    <x v="1"/>
    <n v="841.12"/>
    <n v="15.55"/>
    <n v="36.979999999999997"/>
    <n v="91.27"/>
    <n v="82.99"/>
    <n v="159.79"/>
    <n v="16.579999999999998"/>
    <n v="67.78"/>
    <n v="470.95"/>
    <n v="370.17"/>
    <s v="Apr"/>
    <n v="2024"/>
    <n v="0"/>
    <n v="0.44009178238539093"/>
    <n v="0.7778571428571428"/>
    <n v="80"/>
    <n v="1312.0599999999997"/>
  </r>
  <r>
    <d v="2024-04-05T00:00:00"/>
    <x v="0"/>
    <n v="349.33"/>
    <n v="59.42"/>
    <n v="52.34"/>
    <n v="30.58"/>
    <n v="115.22"/>
    <n v="91.21"/>
    <n v="9.3699999999999992"/>
    <n v="32.36"/>
    <n v="390.51"/>
    <n v="-41.19"/>
    <s v="Apr"/>
    <n v="2024"/>
    <n v="1"/>
    <n v="-0.11791143045258065"/>
    <n v="0.60386666666666666"/>
    <n v="20"/>
    <n v="739.83"/>
  </r>
  <r>
    <d v="2024-04-06T00:00:00"/>
    <x v="1"/>
    <n v="1097.69"/>
    <n v="15.86"/>
    <n v="57.69"/>
    <n v="70.97"/>
    <n v="65.430000000000007"/>
    <n v="144.81"/>
    <n v="17.850000000000001"/>
    <n v="55.86"/>
    <n v="428.46"/>
    <n v="669.24"/>
    <s v="Apr"/>
    <n v="2024"/>
    <n v="0"/>
    <n v="0.60968032869024946"/>
    <n v="0.77342857142857147"/>
    <n v="80"/>
    <n v="1526.1599999999999"/>
  </r>
  <r>
    <d v="2024-04-07T00:00:00"/>
    <x v="1"/>
    <n v="1018.72"/>
    <n v="6.18"/>
    <n v="66.48"/>
    <n v="68.45"/>
    <n v="81.459999999999994"/>
    <n v="191.41"/>
    <n v="31.28"/>
    <n v="53.97"/>
    <n v="499.23"/>
    <n v="519.49"/>
    <s v="Apr"/>
    <n v="2024"/>
    <n v="0"/>
    <n v="0.50994385110727192"/>
    <n v="0.9117142857142857"/>
    <n v="80"/>
    <n v="1517.9500000000003"/>
  </r>
  <r>
    <d v="2024-04-08T00:00:00"/>
    <x v="0"/>
    <n v="308.04000000000002"/>
    <n v="66.91"/>
    <n v="44.97"/>
    <n v="74.510000000000005"/>
    <n v="98.02"/>
    <n v="144.43"/>
    <n v="11.15"/>
    <n v="15.65"/>
    <n v="455.63"/>
    <n v="-147.59"/>
    <s v="Apr"/>
    <n v="2024"/>
    <n v="1"/>
    <n v="-0.47912608752110114"/>
    <n v="0.55393333333333339"/>
    <n v="20"/>
    <n v="763.68000000000006"/>
  </r>
  <r>
    <d v="2024-04-09T00:00:00"/>
    <x v="0"/>
    <n v="390.63"/>
    <n v="83.56"/>
    <n v="38.92"/>
    <n v="75.069999999999993"/>
    <n v="119.04"/>
    <n v="130.65"/>
    <n v="22.89"/>
    <n v="48.46"/>
    <n v="518.59"/>
    <n v="-127.96"/>
    <s v="Apr"/>
    <n v="2024"/>
    <n v="1"/>
    <n v="-0.32757340706038962"/>
    <n v="0.44293333333333329"/>
    <n v="20"/>
    <n v="909.22"/>
  </r>
  <r>
    <d v="2024-04-10T00:00:00"/>
    <x v="0"/>
    <n v="348.21"/>
    <n v="85.65"/>
    <n v="0.7"/>
    <n v="71.44"/>
    <n v="112.18"/>
    <n v="141.03"/>
    <n v="20.73"/>
    <n v="6.15"/>
    <n v="437.88"/>
    <n v="-89.67"/>
    <s v="Apr"/>
    <n v="2024"/>
    <n v="1"/>
    <n v="-0.25751701559403811"/>
    <n v="0.42899999999999994"/>
    <n v="20"/>
    <n v="786.09"/>
  </r>
  <r>
    <d v="2024-04-11T00:00:00"/>
    <x v="1"/>
    <n v="906.07"/>
    <n v="16.79"/>
    <n v="89.56"/>
    <n v="64.45"/>
    <n v="78.83"/>
    <n v="152.44"/>
    <n v="30.24"/>
    <n v="44.93"/>
    <n v="477.23"/>
    <n v="428.83"/>
    <s v="Apr"/>
    <n v="2024"/>
    <n v="0"/>
    <n v="0.47328572847572481"/>
    <n v="0.76014285714285712"/>
    <n v="80"/>
    <n v="1383.3100000000002"/>
  </r>
  <r>
    <d v="2024-04-12T00:00:00"/>
    <x v="1"/>
    <n v="844.05"/>
    <n v="17.57"/>
    <n v="61.94"/>
    <n v="109.06"/>
    <n v="80.959999999999994"/>
    <n v="158.53"/>
    <n v="18.47"/>
    <n v="18.05"/>
    <n v="464.58"/>
    <n v="379.47"/>
    <s v="Apr"/>
    <n v="2024"/>
    <n v="0"/>
    <n v="0.44958237071263557"/>
    <n v="0.749"/>
    <n v="80"/>
    <n v="1308.6299999999999"/>
  </r>
  <r>
    <d v="2024-04-13T00:00:00"/>
    <x v="0"/>
    <n v="364.81"/>
    <n v="72.61"/>
    <n v="40.08"/>
    <n v="50.31"/>
    <n v="74.62"/>
    <n v="137.38"/>
    <n v="17.260000000000002"/>
    <n v="20.37"/>
    <n v="412.62"/>
    <n v="-47.82"/>
    <s v="Apr"/>
    <n v="2024"/>
    <n v="1"/>
    <n v="-0.13108193306104549"/>
    <n v="0.51593333333333335"/>
    <n v="20"/>
    <n v="777.43999999999994"/>
  </r>
  <r>
    <d v="2024-04-14T00:00:00"/>
    <x v="0"/>
    <n v="341.94"/>
    <n v="74.040000000000006"/>
    <n v="68.290000000000006"/>
    <n v="58.49"/>
    <n v="116.44"/>
    <n v="147.77000000000001"/>
    <n v="4.6500000000000004"/>
    <n v="29.68"/>
    <n v="499.36"/>
    <n v="-157.43"/>
    <s v="Apr"/>
    <n v="2024"/>
    <n v="1"/>
    <n v="-0.46040240977949348"/>
    <n v="0.50639999999999996"/>
    <n v="20"/>
    <n v="841.3"/>
  </r>
  <r>
    <d v="2024-04-15T00:00:00"/>
    <x v="1"/>
    <n v="962.05"/>
    <n v="27.32"/>
    <n v="56.15"/>
    <n v="89.05"/>
    <n v="94.31"/>
    <n v="129.1"/>
    <n v="32.29"/>
    <n v="51.28"/>
    <n v="479.48"/>
    <n v="482.56"/>
    <s v="Apr"/>
    <n v="2024"/>
    <n v="0"/>
    <n v="0.50159555116677934"/>
    <n v="0.60971428571428565"/>
    <n v="80"/>
    <n v="1441.5499999999997"/>
  </r>
  <r>
    <d v="2024-04-16T00:00:00"/>
    <x v="0"/>
    <n v="389.55"/>
    <n v="60.91"/>
    <n v="61.04"/>
    <n v="26.96"/>
    <n v="124.67"/>
    <n v="215.71"/>
    <n v="12.08"/>
    <n v="23.2"/>
    <n v="524.58000000000004"/>
    <n v="-135.02000000000001"/>
    <s v="Apr"/>
    <n v="2024"/>
    <n v="1"/>
    <n v="-0.34660505711718653"/>
    <n v="0.59393333333333342"/>
    <n v="20"/>
    <n v="914.12000000000012"/>
  </r>
  <r>
    <d v="2024-04-17T00:00:00"/>
    <x v="0"/>
    <n v="354.98"/>
    <n v="64.97"/>
    <n v="16.739999999999998"/>
    <n v="56.37"/>
    <n v="83.44"/>
    <n v="164.21"/>
    <n v="12.64"/>
    <n v="48.6"/>
    <n v="446.97"/>
    <n v="-91.99"/>
    <s v="Apr"/>
    <n v="2024"/>
    <n v="1"/>
    <n v="-0.25914136007662403"/>
    <n v="0.56686666666666663"/>
    <n v="20"/>
    <n v="801.95"/>
  </r>
  <r>
    <d v="2024-04-18T00:00:00"/>
    <x v="1"/>
    <n v="793.35"/>
    <n v="13.39"/>
    <n v="76.27"/>
    <n v="43.07"/>
    <n v="99.55"/>
    <n v="215.75"/>
    <n v="7.53"/>
    <n v="42.77"/>
    <n v="498.34"/>
    <n v="295.01"/>
    <s v="Apr"/>
    <n v="2024"/>
    <n v="0"/>
    <n v="0.37185353248881325"/>
    <n v="0.80871428571428572"/>
    <n v="80"/>
    <n v="1291.68"/>
  </r>
  <r>
    <d v="2024-04-19T00:00:00"/>
    <x v="1"/>
    <n v="1001.98"/>
    <n v="18.91"/>
    <n v="35.26"/>
    <n v="40.39"/>
    <n v="105.44"/>
    <n v="180.39"/>
    <n v="24.25"/>
    <n v="45.2"/>
    <n v="449.84"/>
    <n v="552.14"/>
    <s v="Apr"/>
    <n v="2024"/>
    <n v="0"/>
    <n v="0.55104892313219822"/>
    <n v="0.72985714285714287"/>
    <n v="80"/>
    <n v="1451.8200000000004"/>
  </r>
  <r>
    <d v="2024-04-20T00:00:00"/>
    <x v="1"/>
    <n v="814"/>
    <n v="16.16"/>
    <n v="65.86"/>
    <n v="58.57"/>
    <n v="132.32"/>
    <n v="186.58"/>
    <n v="11.28"/>
    <n v="49.85"/>
    <n v="520.62"/>
    <n v="293.38"/>
    <s v="Apr"/>
    <n v="2024"/>
    <n v="0"/>
    <n v="0.3604176904176904"/>
    <n v="0.76914285714285713"/>
    <n v="80"/>
    <n v="1334.62"/>
  </r>
  <r>
    <d v="2024-04-21T00:00:00"/>
    <x v="0"/>
    <n v="301.27"/>
    <n v="77.87"/>
    <n v="57.38"/>
    <n v="38.590000000000003"/>
    <n v="134.08000000000001"/>
    <n v="162.38"/>
    <n v="26.58"/>
    <n v="52.76"/>
    <n v="549.64"/>
    <n v="-248.38"/>
    <s v="Apr"/>
    <n v="2024"/>
    <n v="1"/>
    <n v="-0.82444319049357717"/>
    <n v="0.48086666666666666"/>
    <n v="20"/>
    <n v="850.91000000000008"/>
  </r>
  <r>
    <d v="2024-04-22T00:00:00"/>
    <x v="0"/>
    <n v="337.73"/>
    <n v="62.46"/>
    <n v="26.66"/>
    <n v="38.68"/>
    <n v="108.07"/>
    <n v="160.22999999999999"/>
    <n v="22.21"/>
    <n v="39.93"/>
    <n v="458.25"/>
    <n v="-120.52"/>
    <s v="Apr"/>
    <n v="2024"/>
    <n v="1"/>
    <n v="-0.35685310751191779"/>
    <n v="0.58360000000000001"/>
    <n v="20"/>
    <n v="795.97"/>
  </r>
  <r>
    <d v="2024-04-23T00:00:00"/>
    <x v="0"/>
    <n v="350.65"/>
    <n v="84.54"/>
    <n v="36.03"/>
    <n v="109.4"/>
    <n v="125.64"/>
    <n v="124.29"/>
    <n v="11.43"/>
    <n v="35.79"/>
    <n v="527.12"/>
    <n v="-176.47"/>
    <s v="Apr"/>
    <n v="2024"/>
    <n v="1"/>
    <n v="-0.50326536432339941"/>
    <n v="0.43640000000000001"/>
    <n v="20"/>
    <n v="877.76999999999987"/>
  </r>
  <r>
    <d v="2024-04-24T00:00:00"/>
    <x v="0"/>
    <n v="338.83"/>
    <n v="77.14"/>
    <n v="47.1"/>
    <n v="53.54"/>
    <n v="88.83"/>
    <n v="104.55"/>
    <n v="16.43"/>
    <n v="40.28"/>
    <n v="427.87"/>
    <n v="-89.04"/>
    <s v="Apr"/>
    <n v="2024"/>
    <n v="1"/>
    <n v="-0.26278664817164954"/>
    <n v="0.48573333333333335"/>
    <n v="20"/>
    <n v="766.69999999999993"/>
  </r>
  <r>
    <d v="2024-04-25T00:00:00"/>
    <x v="1"/>
    <n v="992.82"/>
    <n v="8.77"/>
    <n v="63.46"/>
    <n v="91.56"/>
    <n v="77.319999999999993"/>
    <n v="175.38"/>
    <n v="22.52"/>
    <n v="22.86"/>
    <n v="461.88"/>
    <n v="530.94000000000005"/>
    <s v="Apr"/>
    <n v="2024"/>
    <n v="0"/>
    <n v="0.53477971837795368"/>
    <n v="0.87471428571428578"/>
    <n v="80"/>
    <n v="1454.6899999999998"/>
  </r>
  <r>
    <d v="2024-04-26T00:00:00"/>
    <x v="1"/>
    <n v="1021.56"/>
    <n v="17.8"/>
    <n v="81.66"/>
    <n v="111.61"/>
    <n v="67.45"/>
    <n v="137.18"/>
    <n v="26.64"/>
    <n v="47.71"/>
    <n v="490.04"/>
    <n v="531.51"/>
    <s v="Apr"/>
    <n v="2024"/>
    <n v="0"/>
    <n v="0.52029249383296139"/>
    <n v="0.74571428571428577"/>
    <n v="80"/>
    <n v="1511.6100000000001"/>
  </r>
  <r>
    <d v="2024-04-27T00:00:00"/>
    <x v="0"/>
    <n v="375.75"/>
    <n v="108.53"/>
    <n v="48.56"/>
    <n v="77.709999999999994"/>
    <n v="133.85"/>
    <n v="169.54"/>
    <n v="17.48"/>
    <n v="39.11"/>
    <n v="594.78"/>
    <n v="-219.03"/>
    <s v="Apr"/>
    <n v="2024"/>
    <n v="1"/>
    <n v="-0.58291417165668657"/>
    <n v="0.27646666666666664"/>
    <n v="20"/>
    <n v="970.53"/>
  </r>
  <r>
    <d v="2024-04-28T00:00:00"/>
    <x v="0"/>
    <n v="311.36"/>
    <n v="67.63"/>
    <n v="32.72"/>
    <n v="56.64"/>
    <n v="167.87"/>
    <n v="93.98"/>
    <n v="25.49"/>
    <n v="10.65"/>
    <n v="454.97"/>
    <n v="-143.62"/>
    <s v="Apr"/>
    <n v="2024"/>
    <n v="1"/>
    <n v="-0.46126670092497429"/>
    <n v="0.54913333333333336"/>
    <n v="20"/>
    <n v="766.34"/>
  </r>
  <r>
    <d v="2024-04-29T00:00:00"/>
    <x v="0"/>
    <n v="326.39999999999998"/>
    <n v="80.89"/>
    <n v="40.96"/>
    <n v="33.450000000000003"/>
    <n v="92.12"/>
    <n v="170.39"/>
    <n v="14.16"/>
    <n v="32.6"/>
    <n v="464.56"/>
    <n v="-138.16"/>
    <s v="Apr"/>
    <n v="2024"/>
    <n v="1"/>
    <n v="-0.42328431372549019"/>
    <n v="0.46073333333333333"/>
    <n v="20"/>
    <n v="790.96999999999991"/>
  </r>
  <r>
    <d v="2024-04-30T00:00:00"/>
    <x v="1"/>
    <n v="959.11"/>
    <n v="11.74"/>
    <n v="102.88"/>
    <n v="99.02"/>
    <n v="54.5"/>
    <n v="176.53"/>
    <n v="16.04"/>
    <n v="52.79"/>
    <n v="513.49"/>
    <n v="445.62"/>
    <s v="Apr"/>
    <n v="2024"/>
    <n v="0"/>
    <n v="0.4646182398265058"/>
    <n v="0.8322857142857143"/>
    <n v="80"/>
    <n v="1472.61"/>
  </r>
  <r>
    <d v="2024-05-01T00:00:00"/>
    <x v="0"/>
    <n v="310.37"/>
    <n v="68.849999999999994"/>
    <n v="47.57"/>
    <n v="72.319999999999993"/>
    <n v="79.989999999999995"/>
    <n v="139.96"/>
    <n v="16.2"/>
    <n v="22.16"/>
    <n v="447.06"/>
    <n v="-136.69"/>
    <s v="May"/>
    <n v="2024"/>
    <n v="1"/>
    <n v="-0.4404098334246222"/>
    <n v="0.54100000000000004"/>
    <n v="20"/>
    <n v="757.42000000000007"/>
  </r>
  <r>
    <d v="2024-05-02T00:00:00"/>
    <x v="0"/>
    <n v="438.27"/>
    <n v="74.05"/>
    <n v="21.09"/>
    <n v="73.36"/>
    <n v="163.05000000000001"/>
    <n v="180.97"/>
    <n v="7.85"/>
    <n v="24.19"/>
    <n v="544.55999999999995"/>
    <n v="-106.28"/>
    <s v="May"/>
    <n v="2024"/>
    <n v="1"/>
    <n v="-0.24249891619321423"/>
    <n v="0.5063333333333333"/>
    <n v="20"/>
    <n v="982.83"/>
  </r>
  <r>
    <d v="2024-05-03T00:00:00"/>
    <x v="0"/>
    <n v="413.35"/>
    <n v="62.92"/>
    <n v="46.66"/>
    <n v="70.489999999999995"/>
    <n v="86.83"/>
    <n v="148.21"/>
    <n v="-5.93"/>
    <n v="17.71"/>
    <n v="426.89"/>
    <n v="-13.55"/>
    <s v="May"/>
    <n v="2024"/>
    <n v="1"/>
    <n v="-3.2780936252570461E-2"/>
    <n v="0.58053333333333335"/>
    <n v="20"/>
    <n v="840.24000000000024"/>
  </r>
  <r>
    <d v="2024-05-04T00:00:00"/>
    <x v="0"/>
    <n v="337.37"/>
    <n v="57.52"/>
    <n v="64.489999999999995"/>
    <n v="26.4"/>
    <n v="99"/>
    <n v="153.91999999999999"/>
    <n v="31.53"/>
    <n v="12.77"/>
    <n v="445.63"/>
    <n v="-108.25"/>
    <s v="May"/>
    <n v="2024"/>
    <n v="1"/>
    <n v="-0.32086433292823902"/>
    <n v="0.61653333333333338"/>
    <n v="20"/>
    <n v="782.99999999999989"/>
  </r>
  <r>
    <d v="2024-05-05T00:00:00"/>
    <x v="0"/>
    <n v="408.16"/>
    <n v="70.099999999999994"/>
    <n v="25.28"/>
    <n v="64.239999999999995"/>
    <n v="114.98"/>
    <n v="131.99"/>
    <n v="20.56"/>
    <n v="25.38"/>
    <n v="452.53"/>
    <n v="-44.37"/>
    <s v="May"/>
    <n v="2024"/>
    <n v="1"/>
    <n v="-0.10870736965895726"/>
    <n v="0.53266666666666662"/>
    <n v="20"/>
    <n v="860.68999999999994"/>
  </r>
  <r>
    <d v="2024-05-06T00:00:00"/>
    <x v="0"/>
    <n v="355.68"/>
    <n v="76.62"/>
    <n v="63.79"/>
    <n v="30.24"/>
    <n v="163.33000000000001"/>
    <n v="91.44"/>
    <n v="18.79"/>
    <n v="37.06"/>
    <n v="481.26"/>
    <n v="-125.59"/>
    <s v="May"/>
    <n v="2024"/>
    <n v="1"/>
    <n v="-0.35309829059829062"/>
    <n v="0.48919999999999997"/>
    <n v="20"/>
    <n v="836.95"/>
  </r>
  <r>
    <d v="2024-05-07T00:00:00"/>
    <x v="0"/>
    <n v="364.05"/>
    <n v="63.77"/>
    <n v="36.880000000000003"/>
    <n v="45.14"/>
    <n v="95.27"/>
    <n v="175.49"/>
    <n v="22.86"/>
    <n v="21.69"/>
    <n v="461.09"/>
    <n v="-97.04"/>
    <s v="May"/>
    <n v="2024"/>
    <n v="1"/>
    <n v="-0.26655679164949869"/>
    <n v="0.57486666666666664"/>
    <n v="20"/>
    <n v="825.15000000000009"/>
  </r>
  <r>
    <d v="2024-05-08T00:00:00"/>
    <x v="0"/>
    <n v="394.98"/>
    <n v="73.069999999999993"/>
    <n v="52.19"/>
    <n v="67.59"/>
    <n v="89.28"/>
    <n v="133.19"/>
    <n v="25.98"/>
    <n v="37.32"/>
    <n v="478.63"/>
    <n v="-83.65"/>
    <s v="May"/>
    <n v="2024"/>
    <n v="1"/>
    <n v="-0.21178287508228266"/>
    <n v="0.51286666666666669"/>
    <n v="20"/>
    <n v="873.6"/>
  </r>
  <r>
    <d v="2024-05-09T00:00:00"/>
    <x v="1"/>
    <n v="945.82"/>
    <n v="15.59"/>
    <n v="85.55"/>
    <n v="62.25"/>
    <n v="105.94"/>
    <n v="162.91999999999999"/>
    <n v="20.04"/>
    <n v="56.48"/>
    <n v="508.78"/>
    <n v="437.04"/>
    <s v="May"/>
    <n v="2024"/>
    <n v="0"/>
    <n v="0.4620752363028906"/>
    <n v="0.77728571428571425"/>
    <n v="80"/>
    <n v="1454.5900000000001"/>
  </r>
  <r>
    <d v="2024-05-10T00:00:00"/>
    <x v="1"/>
    <n v="1115.08"/>
    <n v="19.07"/>
    <n v="86.11"/>
    <n v="80.63"/>
    <n v="108.64"/>
    <n v="159.13999999999999"/>
    <n v="24.92"/>
    <n v="38.049999999999997"/>
    <n v="516.54999999999995"/>
    <n v="598.53"/>
    <s v="May"/>
    <n v="2024"/>
    <n v="0"/>
    <n v="0.53675969437170423"/>
    <n v="0.72757142857142854"/>
    <n v="80"/>
    <n v="1631.64"/>
  </r>
  <r>
    <d v="2024-05-11T00:00:00"/>
    <x v="0"/>
    <n v="354.85"/>
    <n v="75.95"/>
    <n v="27.73"/>
    <n v="96.85"/>
    <n v="84.85"/>
    <n v="113.57"/>
    <n v="29.26"/>
    <n v="39.5"/>
    <n v="467.71"/>
    <n v="-112.86"/>
    <s v="May"/>
    <n v="2024"/>
    <n v="1"/>
    <n v="-0.31804988023108355"/>
    <n v="0.4936666666666667"/>
    <n v="20"/>
    <n v="822.56"/>
  </r>
  <r>
    <d v="2024-05-12T00:00:00"/>
    <x v="1"/>
    <n v="1074.82"/>
    <n v="18.14"/>
    <n v="59.76"/>
    <n v="53.08"/>
    <n v="96.52"/>
    <n v="146.30000000000001"/>
    <n v="30.78"/>
    <n v="37.79"/>
    <n v="442.36"/>
    <n v="632.46"/>
    <s v="May"/>
    <n v="2024"/>
    <n v="0"/>
    <n v="0.58843341210621325"/>
    <n v="0.74085714285714288"/>
    <n v="80"/>
    <n v="1517.1899999999998"/>
  </r>
  <r>
    <d v="2024-05-13T00:00:00"/>
    <x v="0"/>
    <n v="308.73"/>
    <n v="66.790000000000006"/>
    <n v="46.19"/>
    <n v="43.73"/>
    <n v="89.44"/>
    <n v="157.31"/>
    <n v="21.96"/>
    <n v="23.92"/>
    <n v="449.34"/>
    <n v="-140.61000000000001"/>
    <s v="May"/>
    <n v="2024"/>
    <n v="1"/>
    <n v="-0.45544650665630165"/>
    <n v="0.5547333333333333"/>
    <n v="20"/>
    <n v="758.07"/>
  </r>
  <r>
    <d v="2024-05-14T00:00:00"/>
    <x v="1"/>
    <n v="855.79"/>
    <n v="16.16"/>
    <n v="31.04"/>
    <n v="37.78"/>
    <n v="80.63"/>
    <n v="162.53"/>
    <n v="24.8"/>
    <n v="62.13"/>
    <n v="415.06"/>
    <n v="440.73"/>
    <s v="May"/>
    <n v="2024"/>
    <n v="0"/>
    <n v="0.51499783825471201"/>
    <n v="0.76914285714285713"/>
    <n v="80"/>
    <n v="1270.8599999999999"/>
  </r>
  <r>
    <d v="2024-05-15T00:00:00"/>
    <x v="1"/>
    <n v="1121.53"/>
    <n v="14.2"/>
    <n v="59.62"/>
    <n v="49.92"/>
    <n v="94.63"/>
    <n v="159.9"/>
    <n v="24.9"/>
    <n v="27.59"/>
    <n v="430.77"/>
    <n v="690.77"/>
    <s v="May"/>
    <n v="2024"/>
    <n v="0"/>
    <n v="0.61591754121601738"/>
    <n v="0.79714285714285715"/>
    <n v="80"/>
    <n v="1552.2900000000002"/>
  </r>
  <r>
    <d v="2024-05-16T00:00:00"/>
    <x v="1"/>
    <n v="1053.8699999999999"/>
    <n v="22.66"/>
    <n v="57.82"/>
    <n v="92.05"/>
    <n v="108.8"/>
    <n v="155.96"/>
    <n v="24.02"/>
    <n v="40.19"/>
    <n v="501.51"/>
    <n v="552.36"/>
    <s v="May"/>
    <n v="2024"/>
    <n v="0"/>
    <n v="0.52412536650630537"/>
    <n v="0.67628571428571427"/>
    <n v="80"/>
    <n v="1555.37"/>
  </r>
  <r>
    <d v="2024-05-17T00:00:00"/>
    <x v="1"/>
    <n v="969.54"/>
    <n v="11.13"/>
    <n v="60.49"/>
    <n v="94.94"/>
    <n v="124.02"/>
    <n v="203.57"/>
    <n v="41.38"/>
    <n v="28.49"/>
    <n v="564.03"/>
    <n v="405.5"/>
    <s v="May"/>
    <n v="2024"/>
    <n v="0"/>
    <n v="0.41823957753161295"/>
    <n v="0.84099999999999997"/>
    <n v="80"/>
    <n v="1533.56"/>
  </r>
  <r>
    <d v="2024-05-18T00:00:00"/>
    <x v="0"/>
    <n v="393.62"/>
    <n v="71.83"/>
    <n v="72.849999999999994"/>
    <n v="38.83"/>
    <n v="89.01"/>
    <n v="132.02000000000001"/>
    <n v="3.01"/>
    <n v="23.69"/>
    <n v="431.24"/>
    <n v="-37.619999999999997"/>
    <s v="May"/>
    <n v="2024"/>
    <n v="1"/>
    <n v="-9.5574411869315576E-2"/>
    <n v="0.52113333333333334"/>
    <n v="20"/>
    <n v="824.86"/>
  </r>
  <r>
    <d v="2024-05-19T00:00:00"/>
    <x v="0"/>
    <n v="312.04000000000002"/>
    <n v="71.5"/>
    <n v="45.13"/>
    <n v="92.52"/>
    <n v="133.76"/>
    <n v="132.69"/>
    <n v="12.81"/>
    <n v="35.9"/>
    <n v="524.32000000000005"/>
    <n v="-212.28"/>
    <s v="May"/>
    <n v="2024"/>
    <n v="1"/>
    <n v="-0.6802973977695167"/>
    <n v="0.52333333333333332"/>
    <n v="20"/>
    <n v="836.35"/>
  </r>
  <r>
    <d v="2024-05-20T00:00:00"/>
    <x v="0"/>
    <n v="283.99"/>
    <n v="88.31"/>
    <n v="57.69"/>
    <n v="45.62"/>
    <n v="67.17"/>
    <n v="190.62"/>
    <n v="19.079999999999998"/>
    <n v="44.85"/>
    <n v="513.35"/>
    <n v="-229.36"/>
    <s v="May"/>
    <n v="2024"/>
    <n v="1"/>
    <n v="-0.80763407162224021"/>
    <n v="0.41126666666666667"/>
    <n v="20"/>
    <n v="797.33"/>
  </r>
  <r>
    <d v="2024-05-21T00:00:00"/>
    <x v="0"/>
    <n v="270.27999999999997"/>
    <n v="64.010000000000005"/>
    <n v="40.08"/>
    <n v="55.94"/>
    <n v="98.75"/>
    <n v="168.69"/>
    <n v="11.46"/>
    <n v="28.29"/>
    <n v="467.21"/>
    <n v="-196.93"/>
    <s v="May"/>
    <n v="2024"/>
    <n v="1"/>
    <n v="-0.72861476986828488"/>
    <n v="0.57326666666666659"/>
    <n v="20"/>
    <n v="737.5"/>
  </r>
  <r>
    <d v="2024-05-22T00:00:00"/>
    <x v="1"/>
    <n v="974.06"/>
    <n v="17.57"/>
    <n v="74.23"/>
    <n v="46.26"/>
    <n v="64.319999999999993"/>
    <n v="214.72"/>
    <n v="24.99"/>
    <n v="28.77"/>
    <n v="470.87"/>
    <n v="503.19"/>
    <s v="May"/>
    <n v="2024"/>
    <n v="0"/>
    <n v="0.51659035377697471"/>
    <n v="0.749"/>
    <n v="80"/>
    <n v="1444.9199999999998"/>
  </r>
  <r>
    <d v="2024-05-23T00:00:00"/>
    <x v="1"/>
    <n v="1260.23"/>
    <n v="15.58"/>
    <n v="83.59"/>
    <n v="82.03"/>
    <n v="136.21"/>
    <n v="231.44"/>
    <n v="19.760000000000002"/>
    <n v="54.57"/>
    <n v="623.16999999999996"/>
    <n v="637.05999999999995"/>
    <s v="May"/>
    <n v="2024"/>
    <n v="0"/>
    <n v="0.50551089880418654"/>
    <n v="0.77742857142857147"/>
    <n v="80"/>
    <n v="1883.4099999999999"/>
  </r>
  <r>
    <d v="2024-05-24T00:00:00"/>
    <x v="1"/>
    <n v="1079.08"/>
    <n v="21.84"/>
    <n v="40.700000000000003"/>
    <n v="100.58"/>
    <n v="116.17"/>
    <n v="108.44"/>
    <n v="11.35"/>
    <n v="9.41"/>
    <n v="408.5"/>
    <n v="670.57"/>
    <s v="May"/>
    <n v="2024"/>
    <n v="0"/>
    <n v="0.62142751232531424"/>
    <n v="0.68799999999999994"/>
    <n v="80"/>
    <n v="1487.57"/>
  </r>
  <r>
    <d v="2024-05-25T00:00:00"/>
    <x v="0"/>
    <n v="336.53"/>
    <n v="77.180000000000007"/>
    <n v="62.54"/>
    <n v="56.48"/>
    <n v="150.72"/>
    <n v="108.6"/>
    <n v="6.37"/>
    <n v="29.33"/>
    <n v="491.21"/>
    <n v="-154.68"/>
    <s v="May"/>
    <n v="2024"/>
    <n v="1"/>
    <n v="-0.45963212789350139"/>
    <n v="0.4854666666666666"/>
    <n v="20"/>
    <n v="827.75000000000011"/>
  </r>
  <r>
    <d v="2024-05-26T00:00:00"/>
    <x v="0"/>
    <n v="369.2"/>
    <n v="69.67"/>
    <n v="8.99"/>
    <n v="53.22"/>
    <n v="77.39"/>
    <n v="170.09"/>
    <n v="22.93"/>
    <n v="18.72"/>
    <n v="421.01"/>
    <n v="-51.81"/>
    <s v="May"/>
    <n v="2024"/>
    <n v="1"/>
    <n v="-0.14033044420368365"/>
    <n v="0.53553333333333331"/>
    <n v="20"/>
    <n v="790.21"/>
  </r>
  <r>
    <d v="2024-05-27T00:00:00"/>
    <x v="0"/>
    <n v="324.31"/>
    <n v="59.41"/>
    <n v="39.06"/>
    <n v="74.099999999999994"/>
    <n v="85.36"/>
    <n v="165.12"/>
    <n v="15.76"/>
    <n v="20.49"/>
    <n v="459.29"/>
    <n v="-134.99"/>
    <s v="May"/>
    <n v="2024"/>
    <n v="1"/>
    <n v="-0.41623755049181344"/>
    <n v="0.60393333333333343"/>
    <n v="20"/>
    <n v="783.61"/>
  </r>
  <r>
    <d v="2024-05-28T00:00:00"/>
    <x v="0"/>
    <n v="344.65"/>
    <n v="59.65"/>
    <n v="31.7"/>
    <n v="31.04"/>
    <n v="159.12"/>
    <n v="151.06"/>
    <n v="14.4"/>
    <n v="32.57"/>
    <n v="479.53"/>
    <n v="-134.88"/>
    <s v="May"/>
    <n v="2024"/>
    <n v="1"/>
    <n v="-0.39135354707674452"/>
    <n v="0.60233333333333339"/>
    <n v="20"/>
    <n v="824.19"/>
  </r>
  <r>
    <d v="2024-05-29T00:00:00"/>
    <x v="0"/>
    <n v="344.38"/>
    <n v="67.790000000000006"/>
    <n v="49.21"/>
    <n v="70.150000000000006"/>
    <n v="96.74"/>
    <n v="132.72999999999999"/>
    <n v="17.8"/>
    <n v="2.38"/>
    <n v="436.79"/>
    <n v="-92.41"/>
    <s v="May"/>
    <n v="2024"/>
    <n v="1"/>
    <n v="-0.26833730181775944"/>
    <n v="0.5480666666666667"/>
    <n v="20"/>
    <n v="781.18"/>
  </r>
  <r>
    <d v="2024-05-30T00:00:00"/>
    <x v="0"/>
    <n v="274.24"/>
    <n v="83.67"/>
    <n v="64.67"/>
    <n v="50.02"/>
    <n v="124.41"/>
    <n v="159.34"/>
    <n v="44.63"/>
    <n v="43.43"/>
    <n v="570.17999999999995"/>
    <n v="-295.94"/>
    <s v="May"/>
    <n v="2024"/>
    <n v="1"/>
    <n v="-1.0791277712952159"/>
    <n v="0.44220000000000004"/>
    <n v="20"/>
    <n v="844.41"/>
  </r>
  <r>
    <d v="2024-05-31T00:00:00"/>
    <x v="1"/>
    <n v="924.42"/>
    <n v="10.220000000000001"/>
    <n v="27.87"/>
    <n v="86.1"/>
    <n v="79.87"/>
    <n v="120.22"/>
    <n v="16.18"/>
    <n v="23.78"/>
    <n v="364.25"/>
    <n v="560.16999999999996"/>
    <s v="May"/>
    <n v="2024"/>
    <n v="0"/>
    <n v="0.60596914822266934"/>
    <n v="0.85399999999999998"/>
    <n v="80"/>
    <n v="1288.6600000000001"/>
  </r>
  <r>
    <d v="2024-06-01T00:00:00"/>
    <x v="0"/>
    <n v="434.36"/>
    <n v="78.819999999999993"/>
    <n v="39.880000000000003"/>
    <n v="84.6"/>
    <n v="111.93"/>
    <n v="124.16"/>
    <n v="32.18"/>
    <n v="36.47"/>
    <n v="508.04"/>
    <n v="-73.69"/>
    <s v="Jun"/>
    <n v="2024"/>
    <n v="1"/>
    <n v="-0.16965190164840224"/>
    <n v="0.47453333333333336"/>
    <n v="20"/>
    <n v="942.40000000000009"/>
  </r>
  <r>
    <d v="2024-06-02T00:00:00"/>
    <x v="0"/>
    <n v="298.14"/>
    <n v="68.099999999999994"/>
    <n v="26.87"/>
    <n v="27.34"/>
    <n v="133.15"/>
    <n v="207.28"/>
    <n v="8.81"/>
    <n v="36.76"/>
    <n v="508.31"/>
    <n v="-210.17"/>
    <s v="Jun"/>
    <n v="2024"/>
    <n v="1"/>
    <n v="-0.70493727778895821"/>
    <n v="0.54600000000000004"/>
    <n v="20"/>
    <n v="806.44999999999993"/>
  </r>
  <r>
    <d v="2024-06-03T00:00:00"/>
    <x v="0"/>
    <n v="317.47000000000003"/>
    <n v="65.13"/>
    <n v="31.11"/>
    <n v="37.72"/>
    <n v="111.21"/>
    <n v="125.07"/>
    <n v="22.16"/>
    <n v="29.4"/>
    <n v="421.81"/>
    <n v="-104.34"/>
    <s v="Jun"/>
    <n v="2024"/>
    <n v="1"/>
    <n v="-0.32866097584023685"/>
    <n v="0.56580000000000008"/>
    <n v="20"/>
    <n v="739.27"/>
  </r>
  <r>
    <d v="2024-06-04T00:00:00"/>
    <x v="1"/>
    <n v="902.21"/>
    <n v="10.46"/>
    <n v="48.46"/>
    <n v="102.66"/>
    <n v="105.02"/>
    <n v="135.79"/>
    <n v="22.89"/>
    <n v="51.27"/>
    <n v="476.56"/>
    <n v="425.65"/>
    <s v="Jun"/>
    <n v="2024"/>
    <n v="0"/>
    <n v="0.47178594783919481"/>
    <n v="0.85057142857142853"/>
    <n v="80"/>
    <n v="1378.7600000000002"/>
  </r>
  <r>
    <d v="2024-06-05T00:00:00"/>
    <x v="0"/>
    <n v="266.52999999999997"/>
    <n v="75.430000000000007"/>
    <n v="30.06"/>
    <n v="66.41"/>
    <n v="90.92"/>
    <n v="95.85"/>
    <n v="6.98"/>
    <n v="30.58"/>
    <n v="396.23"/>
    <n v="-129.71"/>
    <s v="Jun"/>
    <n v="2024"/>
    <n v="1"/>
    <n v="-0.48666191423104349"/>
    <n v="0.49713333333333332"/>
    <n v="20"/>
    <n v="662.76"/>
  </r>
  <r>
    <d v="2024-06-06T00:00:00"/>
    <x v="1"/>
    <n v="1001.94"/>
    <n v="10.48"/>
    <n v="72.77"/>
    <n v="30.15"/>
    <n v="93.68"/>
    <n v="127.61"/>
    <n v="16.13"/>
    <n v="40.71"/>
    <n v="391.54"/>
    <n v="610.4"/>
    <s v="Jun"/>
    <n v="2024"/>
    <n v="0"/>
    <n v="0.60921811685330451"/>
    <n v="0.85028571428571431"/>
    <n v="80"/>
    <n v="1393.4700000000003"/>
  </r>
  <r>
    <d v="2024-06-07T00:00:00"/>
    <x v="0"/>
    <n v="306.98"/>
    <n v="66.150000000000006"/>
    <n v="55.09"/>
    <n v="43.46"/>
    <n v="130.88999999999999"/>
    <n v="116.11"/>
    <n v="24.24"/>
    <n v="47.3"/>
    <n v="483.25"/>
    <n v="-176.27"/>
    <s v="Jun"/>
    <n v="2024"/>
    <n v="1"/>
    <n v="-0.57420678871587727"/>
    <n v="0.55899999999999994"/>
    <n v="20"/>
    <n v="790.21999999999991"/>
  </r>
  <r>
    <d v="2024-06-08T00:00:00"/>
    <x v="1"/>
    <n v="455.67"/>
    <n v="11.02"/>
    <n v="71.540000000000006"/>
    <n v="73.91"/>
    <n v="102.42"/>
    <n v="148.86000000000001"/>
    <n v="22.78"/>
    <n v="37.659999999999997"/>
    <n v="468.19"/>
    <n v="-12.52"/>
    <s v="Jun"/>
    <n v="2024"/>
    <n v="0"/>
    <n v="-2.7476024315842604E-2"/>
    <n v="0.84257142857142853"/>
    <n v="20"/>
    <n v="923.8599999999999"/>
  </r>
  <r>
    <d v="2024-06-09T00:00:00"/>
    <x v="0"/>
    <n v="408.39"/>
    <n v="72.540000000000006"/>
    <n v="45.06"/>
    <n v="46.76"/>
    <n v="97.81"/>
    <n v="137.02000000000001"/>
    <n v="23.16"/>
    <n v="24.95"/>
    <n v="447.31"/>
    <n v="-38.92"/>
    <s v="Jun"/>
    <n v="2024"/>
    <n v="1"/>
    <n v="-9.5301060261025014E-2"/>
    <n v="0.51639999999999997"/>
    <n v="20"/>
    <n v="855.68999999999994"/>
  </r>
  <r>
    <d v="2024-06-10T00:00:00"/>
    <x v="0"/>
    <n v="364.49"/>
    <n v="90.75"/>
    <n v="53.07"/>
    <n v="48.48"/>
    <n v="140.03"/>
    <n v="137.76"/>
    <n v="3.7"/>
    <n v="17.899999999999999"/>
    <n v="491.69"/>
    <n v="-127.2"/>
    <s v="Jun"/>
    <n v="2024"/>
    <n v="1"/>
    <n v="-0.34898076764794644"/>
    <n v="0.39500000000000002"/>
    <n v="20"/>
    <n v="856.18"/>
  </r>
  <r>
    <d v="2024-06-11T00:00:00"/>
    <x v="0"/>
    <n v="256.45999999999998"/>
    <n v="66.48"/>
    <n v="40.28"/>
    <n v="88.53"/>
    <n v="118.17"/>
    <n v="143.43"/>
    <n v="26.64"/>
    <n v="3.47"/>
    <n v="486.99"/>
    <n v="-230.53"/>
    <s v="Jun"/>
    <n v="2024"/>
    <n v="1"/>
    <n v="-0.89889261483272254"/>
    <n v="0.55679999999999996"/>
    <n v="20"/>
    <n v="743.45999999999992"/>
  </r>
  <r>
    <d v="2024-06-12T00:00:00"/>
    <x v="1"/>
    <n v="997.12"/>
    <n v="18.850000000000001"/>
    <n v="30.43"/>
    <n v="114.31"/>
    <n v="101.77"/>
    <n v="155.46"/>
    <n v="27.7"/>
    <n v="74.06"/>
    <n v="522.59"/>
    <n v="474.54"/>
    <s v="Jun"/>
    <n v="2024"/>
    <n v="0"/>
    <n v="0.47591062259306804"/>
    <n v="0.73071428571428565"/>
    <n v="80"/>
    <n v="1519.7"/>
  </r>
  <r>
    <d v="2024-06-13T00:00:00"/>
    <x v="1"/>
    <n v="986.37"/>
    <n v="16.239999999999998"/>
    <n v="50.81"/>
    <n v="54.5"/>
    <n v="111.61"/>
    <n v="140.04"/>
    <n v="22.64"/>
    <n v="32.840000000000003"/>
    <n v="428.68"/>
    <n v="557.69000000000005"/>
    <s v="Jun"/>
    <n v="2024"/>
    <n v="0"/>
    <n v="0.56539635228159824"/>
    <n v="0.76800000000000002"/>
    <n v="80"/>
    <n v="1415.05"/>
  </r>
  <r>
    <d v="2024-06-14T00:00:00"/>
    <x v="1"/>
    <n v="1045.8"/>
    <n v="16.670000000000002"/>
    <n v="80.75"/>
    <n v="64.7"/>
    <n v="89.6"/>
    <n v="135.74"/>
    <n v="18"/>
    <n v="45.66"/>
    <n v="451.13"/>
    <n v="594.66999999999996"/>
    <s v="Jun"/>
    <n v="2024"/>
    <n v="0"/>
    <n v="0.56862688850640652"/>
    <n v="0.76185714285714279"/>
    <n v="80"/>
    <n v="1496.92"/>
  </r>
  <r>
    <d v="2024-06-15T00:00:00"/>
    <x v="1"/>
    <n v="1101.4000000000001"/>
    <n v="10.39"/>
    <n v="77.39"/>
    <n v="120.67"/>
    <n v="103.27"/>
    <n v="235.69"/>
    <n v="15.04"/>
    <n v="21.33"/>
    <n v="583.77"/>
    <n v="517.62"/>
    <s v="Jun"/>
    <n v="2024"/>
    <n v="0"/>
    <n v="0.46996549845650987"/>
    <n v="0.85157142857142853"/>
    <n v="80"/>
    <n v="1685.1800000000003"/>
  </r>
  <r>
    <d v="2024-06-16T00:00:00"/>
    <x v="1"/>
    <n v="594.26"/>
    <n v="22.48"/>
    <n v="73.09"/>
    <n v="78.33"/>
    <n v="100.6"/>
    <n v="130.61000000000001"/>
    <n v="44.01"/>
    <n v="41.94"/>
    <n v="491.06"/>
    <n v="103.2"/>
    <s v="Jun"/>
    <n v="2024"/>
    <n v="0"/>
    <n v="0.17366136034732274"/>
    <n v="0.67885714285714283"/>
    <n v="60"/>
    <n v="1085.3200000000002"/>
  </r>
  <r>
    <d v="2024-06-17T00:00:00"/>
    <x v="1"/>
    <n v="971.88"/>
    <n v="18.63"/>
    <n v="69.62"/>
    <n v="86.72"/>
    <n v="79.19"/>
    <n v="186.5"/>
    <n v="38.94"/>
    <n v="60.18"/>
    <n v="539.78"/>
    <n v="432.1"/>
    <s v="Jun"/>
    <n v="2024"/>
    <n v="0"/>
    <n v="0.44460221426513563"/>
    <n v="0.73385714285714287"/>
    <n v="80"/>
    <n v="1511.6600000000003"/>
  </r>
  <r>
    <d v="2024-06-18T00:00:00"/>
    <x v="0"/>
    <n v="429.66"/>
    <n v="64.89"/>
    <n v="25.16"/>
    <n v="52.48"/>
    <n v="111.39"/>
    <n v="182.83"/>
    <n v="6.46"/>
    <n v="48.35"/>
    <n v="491.56"/>
    <n v="-61.9"/>
    <s v="Jun"/>
    <n v="2024"/>
    <n v="1"/>
    <n v="-0.14406740213191824"/>
    <n v="0.56740000000000002"/>
    <n v="20"/>
    <n v="921.22000000000014"/>
  </r>
  <r>
    <d v="2024-06-19T00:00:00"/>
    <x v="0"/>
    <n v="342.1"/>
    <n v="65.73"/>
    <n v="24.82"/>
    <n v="21.9"/>
    <n v="130.58000000000001"/>
    <n v="152.19999999999999"/>
    <n v="9.68"/>
    <n v="14.46"/>
    <n v="419.37"/>
    <n v="-77.27"/>
    <s v="Jun"/>
    <n v="2024"/>
    <n v="1"/>
    <n v="-0.2258696287635194"/>
    <n v="0.56179999999999997"/>
    <n v="20"/>
    <n v="761.46999999999991"/>
  </r>
  <r>
    <d v="2024-06-20T00:00:00"/>
    <x v="1"/>
    <n v="882.84"/>
    <n v="23.35"/>
    <n v="54.81"/>
    <n v="34.909999999999997"/>
    <n v="90.09"/>
    <n v="160.44999999999999"/>
    <n v="-2.27"/>
    <n v="39.19"/>
    <n v="400.51"/>
    <n v="482.33"/>
    <s v="Jun"/>
    <n v="2024"/>
    <n v="0"/>
    <n v="0.54633908749037197"/>
    <n v="0.66642857142857137"/>
    <n v="80"/>
    <n v="1283.3700000000001"/>
  </r>
  <r>
    <d v="2024-06-21T00:00:00"/>
    <x v="1"/>
    <n v="903.81"/>
    <n v="18.48"/>
    <n v="96.98"/>
    <n v="113.8"/>
    <n v="89.62"/>
    <n v="131.27000000000001"/>
    <n v="45.16"/>
    <n v="40.89"/>
    <n v="536.20000000000005"/>
    <n v="367.61"/>
    <s v="Jun"/>
    <n v="2024"/>
    <n v="0"/>
    <n v="0.40673371615715698"/>
    <n v="0.73599999999999999"/>
    <n v="80"/>
    <n v="1440.0100000000002"/>
  </r>
  <r>
    <d v="2024-06-22T00:00:00"/>
    <x v="1"/>
    <n v="952.79"/>
    <n v="14.88"/>
    <n v="63.96"/>
    <n v="75.67"/>
    <n v="83.53"/>
    <n v="150.86000000000001"/>
    <n v="21.71"/>
    <n v="31.85"/>
    <n v="442.45"/>
    <n v="510.34"/>
    <s v="Jun"/>
    <n v="2024"/>
    <n v="0"/>
    <n v="0.53562694822573709"/>
    <n v="0.78742857142857137"/>
    <n v="80"/>
    <n v="1395.25"/>
  </r>
  <r>
    <d v="2024-06-23T00:00:00"/>
    <x v="1"/>
    <n v="807.43"/>
    <n v="15.53"/>
    <n v="54.9"/>
    <n v="125.12"/>
    <n v="41.98"/>
    <n v="208.2"/>
    <n v="33.21"/>
    <n v="8.9"/>
    <n v="487.85"/>
    <n v="319.58"/>
    <s v="Jun"/>
    <n v="2024"/>
    <n v="0"/>
    <n v="0.39579901663302081"/>
    <n v="0.77814285714285714"/>
    <n v="80"/>
    <n v="1295.27"/>
  </r>
  <r>
    <d v="2024-06-24T00:00:00"/>
    <x v="1"/>
    <n v="881.46"/>
    <n v="13.14"/>
    <n v="31.85"/>
    <n v="56.67"/>
    <n v="72.790000000000006"/>
    <n v="231.33"/>
    <n v="30.42"/>
    <n v="59.07"/>
    <n v="495.27"/>
    <n v="386.19"/>
    <s v="Jun"/>
    <n v="2024"/>
    <n v="0"/>
    <n v="0.4381253828874821"/>
    <n v="0.81228571428571428"/>
    <n v="80"/>
    <n v="1376.73"/>
  </r>
  <r>
    <d v="2024-06-25T00:00:00"/>
    <x v="0"/>
    <n v="386.08"/>
    <n v="58.71"/>
    <n v="32.130000000000003"/>
    <n v="64.790000000000006"/>
    <n v="79.45"/>
    <n v="171.39"/>
    <n v="18.079999999999998"/>
    <n v="25.5"/>
    <n v="450.05"/>
    <n v="-63.96"/>
    <s v="Jun"/>
    <n v="2024"/>
    <n v="1"/>
    <n v="-0.16566514711976793"/>
    <n v="0.60860000000000003"/>
    <n v="20"/>
    <n v="836.13"/>
  </r>
  <r>
    <d v="2024-06-26T00:00:00"/>
    <x v="1"/>
    <n v="1092.19"/>
    <n v="17.22"/>
    <n v="52.78"/>
    <n v="114.78"/>
    <n v="73.38"/>
    <n v="191.56"/>
    <n v="27.34"/>
    <n v="35.36"/>
    <n v="512.41"/>
    <n v="579.78"/>
    <s v="Jun"/>
    <n v="2024"/>
    <n v="0"/>
    <n v="0.53084170336663028"/>
    <n v="0.754"/>
    <n v="80"/>
    <n v="1604.6099999999997"/>
  </r>
  <r>
    <d v="2024-06-27T00:00:00"/>
    <x v="0"/>
    <n v="366.31"/>
    <n v="57.49"/>
    <n v="53.86"/>
    <n v="51.3"/>
    <n v="96.93"/>
    <n v="181.47"/>
    <n v="14.37"/>
    <n v="13.1"/>
    <n v="468.52"/>
    <n v="-102.21"/>
    <s v="Jun"/>
    <n v="2024"/>
    <n v="1"/>
    <n v="-0.27902596161720944"/>
    <n v="0.61673333333333336"/>
    <n v="20"/>
    <n v="834.83000000000015"/>
  </r>
  <r>
    <d v="2024-06-28T00:00:00"/>
    <x v="0"/>
    <n v="272.17"/>
    <n v="76.06"/>
    <n v="20.79"/>
    <n v="90.1"/>
    <n v="57.95"/>
    <n v="200.89"/>
    <n v="21.69"/>
    <n v="28.84"/>
    <n v="496.32"/>
    <n v="-224.15"/>
    <s v="Jun"/>
    <n v="2024"/>
    <n v="1"/>
    <n v="-0.82356615350699924"/>
    <n v="0.49293333333333333"/>
    <n v="20"/>
    <n v="768.49000000000012"/>
  </r>
  <r>
    <d v="2024-06-29T00:00:00"/>
    <x v="1"/>
    <n v="841.02"/>
    <n v="17"/>
    <n v="59.25"/>
    <n v="113.1"/>
    <n v="97.28"/>
    <n v="175.26"/>
    <n v="18.73"/>
    <n v="39.15"/>
    <n v="519.76"/>
    <n v="321.26"/>
    <s v="Jun"/>
    <n v="2024"/>
    <n v="0"/>
    <n v="0.38198853772799696"/>
    <n v="0.75714285714285712"/>
    <n v="80"/>
    <n v="1360.79"/>
  </r>
  <r>
    <d v="2024-06-30T00:00:00"/>
    <x v="0"/>
    <n v="365.39"/>
    <n v="52.9"/>
    <n v="19.78"/>
    <n v="69.87"/>
    <n v="114.27"/>
    <n v="144.47999999999999"/>
    <n v="20.149999999999999"/>
    <n v="34.17"/>
    <n v="455.61"/>
    <n v="-90.22"/>
    <s v="Jun"/>
    <n v="2024"/>
    <n v="1"/>
    <n v="-0.2469142560004379"/>
    <n v="0.64733333333333332"/>
    <n v="20"/>
    <n v="821.00999999999988"/>
  </r>
  <r>
    <d v="2024-07-01T00:00:00"/>
    <x v="1"/>
    <n v="842.05"/>
    <n v="11.11"/>
    <n v="63.92"/>
    <n v="50.65"/>
    <n v="103.17"/>
    <n v="110.41"/>
    <n v="31.26"/>
    <n v="47.09"/>
    <n v="417.6"/>
    <n v="424.45"/>
    <s v="Jul"/>
    <n v="2024"/>
    <n v="0"/>
    <n v="0.50406745442669676"/>
    <n v="0.8412857142857143"/>
    <n v="80"/>
    <n v="1259.6599999999999"/>
  </r>
  <r>
    <d v="2024-07-02T00:00:00"/>
    <x v="0"/>
    <n v="362.8"/>
    <n v="79.83"/>
    <n v="64.98"/>
    <n v="75.290000000000006"/>
    <n v="63.98"/>
    <n v="111.61"/>
    <n v="15"/>
    <n v="30.31"/>
    <n v="441"/>
    <n v="-78.2"/>
    <s v="Jul"/>
    <n v="2024"/>
    <n v="1"/>
    <n v="-0.21554575523704519"/>
    <n v="0.46779999999999999"/>
    <n v="20"/>
    <n v="803.8"/>
  </r>
  <r>
    <d v="2024-07-03T00:00:00"/>
    <x v="0"/>
    <n v="375.88"/>
    <n v="62.74"/>
    <n v="42.8"/>
    <n v="39.89"/>
    <n v="94.71"/>
    <n v="107.8"/>
    <n v="12.61"/>
    <n v="13.78"/>
    <n v="374.34"/>
    <n v="1.54"/>
    <s v="Jul"/>
    <n v="2024"/>
    <n v="1"/>
    <n v="4.0970522507183145E-3"/>
    <n v="0.58173333333333332"/>
    <n v="40"/>
    <n v="750.21"/>
  </r>
  <r>
    <d v="2024-07-04T00:00:00"/>
    <x v="0"/>
    <n v="301.20999999999998"/>
    <n v="80.540000000000006"/>
    <n v="25.76"/>
    <n v="107.65"/>
    <n v="122.33"/>
    <n v="155.55000000000001"/>
    <n v="13.13"/>
    <n v="38.4"/>
    <n v="543.36"/>
    <n v="-242.15"/>
    <s v="Jul"/>
    <n v="2024"/>
    <n v="1"/>
    <n v="-0.80392417250423298"/>
    <n v="0.46306666666666663"/>
    <n v="20"/>
    <n v="844.56999999999994"/>
  </r>
  <r>
    <d v="2024-07-05T00:00:00"/>
    <x v="0"/>
    <n v="321.22000000000003"/>
    <n v="71.22"/>
    <n v="78.400000000000006"/>
    <n v="53.08"/>
    <n v="138.72999999999999"/>
    <n v="128.9"/>
    <n v="19.72"/>
    <n v="51.25"/>
    <n v="541.30999999999995"/>
    <n v="-220.09"/>
    <s v="Jul"/>
    <n v="2024"/>
    <n v="1"/>
    <n v="-0.68516904302347292"/>
    <n v="0.5252"/>
    <n v="20"/>
    <n v="862.5200000000001"/>
  </r>
  <r>
    <d v="2024-07-06T00:00:00"/>
    <x v="0"/>
    <n v="318.64999999999998"/>
    <n v="88.12"/>
    <n v="50.62"/>
    <n v="43.75"/>
    <n v="125.81"/>
    <n v="179.18"/>
    <n v="24.97"/>
    <n v="11.16"/>
    <n v="523.61"/>
    <n v="-204.96"/>
    <s v="Jul"/>
    <n v="2024"/>
    <n v="1"/>
    <n v="-0.64321355719441398"/>
    <n v="0.41253333333333331"/>
    <n v="20"/>
    <n v="842.2600000000001"/>
  </r>
  <r>
    <d v="2024-07-07T00:00:00"/>
    <x v="1"/>
    <n v="804.57"/>
    <n v="13.76"/>
    <n v="58.51"/>
    <n v="98.62"/>
    <n v="98.55"/>
    <n v="123.26"/>
    <n v="25.42"/>
    <n v="49.16"/>
    <n v="467.29"/>
    <n v="337.28"/>
    <s v="Jul"/>
    <n v="2024"/>
    <n v="0"/>
    <n v="0.41920528978211957"/>
    <n v="0.80342857142857138"/>
    <n v="80"/>
    <n v="1271.8500000000001"/>
  </r>
  <r>
    <d v="2024-07-08T00:00:00"/>
    <x v="1"/>
    <n v="1061.96"/>
    <n v="20.399999999999999"/>
    <n v="76.680000000000007"/>
    <n v="93.78"/>
    <n v="93.6"/>
    <n v="111.87"/>
    <n v="25.87"/>
    <n v="43.12"/>
    <n v="465.3"/>
    <n v="596.66"/>
    <s v="Jul"/>
    <n v="2024"/>
    <n v="0"/>
    <n v="0.56184790387585215"/>
    <n v="0.70857142857142863"/>
    <n v="80"/>
    <n v="1527.2799999999997"/>
  </r>
  <r>
    <d v="2024-07-09T00:00:00"/>
    <x v="0"/>
    <n v="363.58"/>
    <n v="57.23"/>
    <n v="23.78"/>
    <n v="76.06"/>
    <n v="109.01"/>
    <n v="170.45"/>
    <n v="20.23"/>
    <n v="30.36"/>
    <n v="487.12"/>
    <n v="-123.54"/>
    <s v="Jul"/>
    <n v="2024"/>
    <n v="1"/>
    <n v="-0.33978766708839875"/>
    <n v="0.61846666666666672"/>
    <n v="20"/>
    <n v="850.70000000000016"/>
  </r>
  <r>
    <d v="2024-07-10T00:00:00"/>
    <x v="1"/>
    <n v="1137.6600000000001"/>
    <n v="12.42"/>
    <n v="61.92"/>
    <n v="66.13"/>
    <n v="86.31"/>
    <n v="159.18"/>
    <n v="24"/>
    <n v="32.82"/>
    <n v="442.78"/>
    <n v="694.88"/>
    <s v="Jul"/>
    <n v="2024"/>
    <n v="0"/>
    <n v="0.61079760209552936"/>
    <n v="0.82257142857142851"/>
    <n v="80"/>
    <n v="1580.44"/>
  </r>
  <r>
    <d v="2024-07-11T00:00:00"/>
    <x v="1"/>
    <n v="1201.1500000000001"/>
    <n v="10.53"/>
    <n v="56.26"/>
    <n v="66.81"/>
    <n v="123.94"/>
    <n v="176.88"/>
    <n v="31.29"/>
    <n v="17.72"/>
    <n v="483.42"/>
    <n v="717.73"/>
    <s v="Jul"/>
    <n v="2024"/>
    <n v="0"/>
    <n v="0.59753569495899761"/>
    <n v="0.84957142857142864"/>
    <n v="80"/>
    <n v="1684.5800000000002"/>
  </r>
  <r>
    <d v="2024-07-12T00:00:00"/>
    <x v="0"/>
    <n v="363.35"/>
    <n v="78.900000000000006"/>
    <n v="41.23"/>
    <n v="76.31"/>
    <n v="97.07"/>
    <n v="192.28"/>
    <n v="38.39"/>
    <n v="25.65"/>
    <n v="549.83000000000004"/>
    <n v="-186.47"/>
    <s v="Jul"/>
    <n v="2024"/>
    <n v="1"/>
    <n v="-0.51319664235585516"/>
    <n v="0.47399999999999998"/>
    <n v="20"/>
    <n v="913.17999999999984"/>
  </r>
  <r>
    <d v="2024-07-13T00:00:00"/>
    <x v="1"/>
    <n v="860.9"/>
    <n v="22.27"/>
    <n v="91.59"/>
    <n v="64.31"/>
    <n v="86.6"/>
    <n v="160.13999999999999"/>
    <n v="9.9"/>
    <n v="26.22"/>
    <n v="461.03"/>
    <n v="399.87"/>
    <s v="Jul"/>
    <n v="2024"/>
    <n v="0"/>
    <n v="0.46447903356952031"/>
    <n v="0.68185714285714294"/>
    <n v="80"/>
    <n v="1321.93"/>
  </r>
  <r>
    <d v="2024-07-14T00:00:00"/>
    <x v="1"/>
    <n v="749.17"/>
    <n v="11.16"/>
    <n v="59.31"/>
    <n v="87.03"/>
    <n v="126.01"/>
    <n v="135.06"/>
    <n v="30.86"/>
    <n v="36.79"/>
    <n v="486.21"/>
    <n v="262.95999999999998"/>
    <s v="Jul"/>
    <n v="2024"/>
    <n v="0"/>
    <n v="0.35100177529799642"/>
    <n v="0.84057142857142852"/>
    <n v="80"/>
    <n v="1235.3899999999996"/>
  </r>
  <r>
    <d v="2024-07-15T00:00:00"/>
    <x v="1"/>
    <n v="940.11"/>
    <n v="18.37"/>
    <n v="37.549999999999997"/>
    <n v="91.47"/>
    <n v="98.33"/>
    <n v="187.24"/>
    <n v="24.6"/>
    <n v="76.83"/>
    <n v="534.39"/>
    <n v="405.72"/>
    <s v="Jul"/>
    <n v="2024"/>
    <n v="0"/>
    <n v="0.43156651881162844"/>
    <n v="0.73757142857142854"/>
    <n v="80"/>
    <n v="1474.4999999999998"/>
  </r>
  <r>
    <d v="2024-07-16T00:00:00"/>
    <x v="1"/>
    <n v="822.45"/>
    <n v="12.35"/>
    <n v="47.54"/>
    <n v="63.34"/>
    <n v="82.25"/>
    <n v="211.62"/>
    <n v="34.78"/>
    <n v="31.44"/>
    <n v="483.31"/>
    <n v="339.14"/>
    <s v="Jul"/>
    <n v="2024"/>
    <n v="0"/>
    <n v="0.41235333454921269"/>
    <n v="0.82357142857142862"/>
    <n v="80"/>
    <n v="1305.7700000000002"/>
  </r>
  <r>
    <d v="2024-07-17T00:00:00"/>
    <x v="0"/>
    <n v="308.38"/>
    <n v="74.709999999999994"/>
    <n v="31.72"/>
    <n v="67.66"/>
    <n v="115.07"/>
    <n v="104.53"/>
    <n v="32.380000000000003"/>
    <n v="51.55"/>
    <n v="477.62"/>
    <n v="-169.24"/>
    <s v="Jul"/>
    <n v="2024"/>
    <n v="1"/>
    <n v="-0.54880342434658547"/>
    <n v="0.50193333333333334"/>
    <n v="20"/>
    <n v="785.99999999999989"/>
  </r>
  <r>
    <d v="2024-07-18T00:00:00"/>
    <x v="1"/>
    <n v="827.44"/>
    <n v="13.06"/>
    <n v="65.72"/>
    <n v="90.03"/>
    <n v="108.17"/>
    <n v="240.36"/>
    <n v="20.41"/>
    <n v="28.03"/>
    <n v="565.77"/>
    <n v="261.67"/>
    <s v="Jul"/>
    <n v="2024"/>
    <n v="0"/>
    <n v="0.31624045247993809"/>
    <n v="0.81342857142857139"/>
    <n v="80"/>
    <n v="1393.2200000000003"/>
  </r>
  <r>
    <d v="2024-07-19T00:00:00"/>
    <x v="0"/>
    <n v="281.02999999999997"/>
    <n v="62.69"/>
    <n v="39.5"/>
    <n v="90.89"/>
    <n v="97.06"/>
    <n v="156.71"/>
    <n v="19.87"/>
    <n v="44.26"/>
    <n v="510.99"/>
    <n v="-229.95"/>
    <s v="Jul"/>
    <n v="2024"/>
    <n v="1"/>
    <n v="-0.81824004554673879"/>
    <n v="0.58206666666666673"/>
    <n v="20"/>
    <n v="792.01"/>
  </r>
  <r>
    <d v="2024-07-20T00:00:00"/>
    <x v="0"/>
    <n v="476.35"/>
    <n v="64.69"/>
    <n v="32.659999999999997"/>
    <n v="75.88"/>
    <n v="127.05"/>
    <n v="205.4"/>
    <n v="24.67"/>
    <n v="25.69"/>
    <n v="556.04"/>
    <n v="-79.69"/>
    <s v="Jul"/>
    <n v="2024"/>
    <n v="1"/>
    <n v="-0.16729295685945206"/>
    <n v="0.56873333333333331"/>
    <n v="20"/>
    <n v="1032.3899999999999"/>
  </r>
  <r>
    <d v="2024-07-21T00:00:00"/>
    <x v="0"/>
    <n v="379.53"/>
    <n v="81.09"/>
    <n v="52.31"/>
    <n v="65.150000000000006"/>
    <n v="136.66999999999999"/>
    <n v="185.08"/>
    <n v="31.06"/>
    <n v="37.78"/>
    <n v="589.13"/>
    <n v="-209.59"/>
    <s v="Jul"/>
    <n v="2024"/>
    <n v="1"/>
    <n v="-0.55223565989513346"/>
    <n v="0.45940000000000003"/>
    <n v="20"/>
    <n v="968.67"/>
  </r>
  <r>
    <d v="2024-07-22T00:00:00"/>
    <x v="0"/>
    <n v="341.64"/>
    <n v="71.47"/>
    <n v="58.1"/>
    <n v="38.659999999999997"/>
    <n v="119.22"/>
    <n v="138.19999999999999"/>
    <n v="20.23"/>
    <n v="45.34"/>
    <n v="491.21"/>
    <n v="-149.57"/>
    <s v="Jul"/>
    <n v="2024"/>
    <n v="1"/>
    <n v="-0.43780002341646179"/>
    <n v="0.52353333333333341"/>
    <n v="20"/>
    <n v="832.86"/>
  </r>
  <r>
    <d v="2024-07-23T00:00:00"/>
    <x v="0"/>
    <n v="359.55"/>
    <n v="70.459999999999994"/>
    <n v="19.600000000000001"/>
    <n v="69.930000000000007"/>
    <n v="126.14"/>
    <n v="214.9"/>
    <n v="17.54"/>
    <n v="32.630000000000003"/>
    <n v="551.19000000000005"/>
    <n v="-191.64"/>
    <s v="Jul"/>
    <n v="2024"/>
    <n v="1"/>
    <n v="-0.53299958281184812"/>
    <n v="0.53026666666666666"/>
    <n v="20"/>
    <n v="910.74999999999989"/>
  </r>
  <r>
    <d v="2024-07-24T00:00:00"/>
    <x v="1"/>
    <n v="999.88"/>
    <n v="22.89"/>
    <n v="58.09"/>
    <n v="88.37"/>
    <n v="107.16"/>
    <n v="176.53"/>
    <n v="17.98"/>
    <n v="42.91"/>
    <n v="513.92999999999995"/>
    <n v="485.94"/>
    <s v="Jul"/>
    <n v="2024"/>
    <n v="0"/>
    <n v="0.48599831979837582"/>
    <n v="0.67300000000000004"/>
    <n v="80"/>
    <n v="1513.8100000000002"/>
  </r>
  <r>
    <d v="2024-07-25T00:00:00"/>
    <x v="1"/>
    <n v="1164.73"/>
    <n v="9.8699999999999992"/>
    <n v="62.66"/>
    <n v="59"/>
    <n v="118.9"/>
    <n v="116.69"/>
    <n v="16.97"/>
    <n v="45.66"/>
    <n v="429.74"/>
    <n v="734.99"/>
    <s v="Jul"/>
    <n v="2024"/>
    <n v="0"/>
    <n v="0.63103895323379666"/>
    <n v="0.85899999999999999"/>
    <n v="80"/>
    <n v="1594.4800000000002"/>
  </r>
  <r>
    <d v="2024-07-26T00:00:00"/>
    <x v="0"/>
    <n v="428.28"/>
    <n v="69.34"/>
    <n v="31.67"/>
    <n v="92.62"/>
    <n v="73.8"/>
    <n v="84.04"/>
    <n v="23.52"/>
    <n v="23.98"/>
    <n v="398.97"/>
    <n v="29.31"/>
    <s v="Jul"/>
    <n v="2024"/>
    <n v="1"/>
    <n v="6.8436536845054644E-2"/>
    <n v="0.53773333333333329"/>
    <n v="40"/>
    <n v="827.24999999999989"/>
  </r>
  <r>
    <d v="2024-07-27T00:00:00"/>
    <x v="1"/>
    <n v="745.75"/>
    <n v="18.54"/>
    <n v="64.88"/>
    <n v="63.08"/>
    <n v="69.39"/>
    <n v="200.54"/>
    <n v="27.85"/>
    <n v="38.51"/>
    <n v="482.79"/>
    <n v="262.95999999999998"/>
    <s v="Jul"/>
    <n v="2024"/>
    <n v="0"/>
    <n v="0.35261146496815282"/>
    <n v="0.7351428571428571"/>
    <n v="80"/>
    <n v="1228.54"/>
  </r>
  <r>
    <d v="2024-07-28T00:00:00"/>
    <x v="0"/>
    <n v="442.33"/>
    <n v="59.3"/>
    <n v="17.12"/>
    <n v="41.16"/>
    <n v="108.86"/>
    <n v="157.30000000000001"/>
    <n v="18.07"/>
    <n v="34.22"/>
    <n v="436.03"/>
    <n v="6.3"/>
    <s v="Jul"/>
    <n v="2024"/>
    <n v="1"/>
    <n v="1.4242759930368729E-2"/>
    <n v="0.60466666666666669"/>
    <n v="40"/>
    <n v="878.36"/>
  </r>
  <r>
    <d v="2024-07-29T00:00:00"/>
    <x v="1"/>
    <n v="699.69"/>
    <n v="22.22"/>
    <n v="58.36"/>
    <n v="113.52"/>
    <n v="101.85"/>
    <n v="185.99"/>
    <n v="27.13"/>
    <n v="46.72"/>
    <n v="555.78"/>
    <n v="143.91"/>
    <s v="Jul"/>
    <n v="2024"/>
    <n v="0"/>
    <n v="0.20567679972559275"/>
    <n v="0.68257142857142861"/>
    <n v="80"/>
    <n v="1255.4800000000002"/>
  </r>
  <r>
    <d v="2024-07-30T00:00:00"/>
    <x v="0"/>
    <n v="382.14"/>
    <n v="83.29"/>
    <n v="42.95"/>
    <n v="69.180000000000007"/>
    <n v="107.76"/>
    <n v="193.2"/>
    <n v="14.59"/>
    <n v="51.61"/>
    <n v="562.58000000000004"/>
    <n v="-180.44"/>
    <s v="Jul"/>
    <n v="2024"/>
    <n v="1"/>
    <n v="-0.47218296959229605"/>
    <n v="0.44473333333333331"/>
    <n v="20"/>
    <n v="944.72"/>
  </r>
  <r>
    <d v="2024-07-31T00:00:00"/>
    <x v="1"/>
    <n v="941.97"/>
    <n v="7.85"/>
    <n v="62.56"/>
    <n v="59.57"/>
    <n v="111.81"/>
    <n v="147.16"/>
    <n v="17.98"/>
    <n v="11.66"/>
    <n v="418.59"/>
    <n v="523.38"/>
    <s v="Jul"/>
    <n v="2024"/>
    <n v="0"/>
    <n v="0.5556227905347304"/>
    <n v="0.8878571428571429"/>
    <n v="80"/>
    <n v="1360.5600000000002"/>
  </r>
  <r>
    <d v="2024-08-01T00:00:00"/>
    <x v="1"/>
    <n v="859.54"/>
    <n v="2.88"/>
    <n v="28.32"/>
    <n v="102.81"/>
    <n v="110.72"/>
    <n v="184.89"/>
    <n v="13.3"/>
    <n v="39.28"/>
    <n v="482.2"/>
    <n v="377.34"/>
    <s v="Aug"/>
    <n v="2024"/>
    <n v="0"/>
    <n v="0.43900225702119738"/>
    <n v="0.95885714285714285"/>
    <n v="80"/>
    <n v="1341.7399999999998"/>
  </r>
  <r>
    <d v="2024-08-02T00:00:00"/>
    <x v="1"/>
    <n v="949.28"/>
    <n v="9.2100000000000009"/>
    <n v="90.07"/>
    <n v="106.32"/>
    <n v="90.58"/>
    <n v="170.94"/>
    <n v="23.88"/>
    <n v="9.3699999999999992"/>
    <n v="500.37"/>
    <n v="448.91"/>
    <s v="Aug"/>
    <n v="2024"/>
    <n v="0"/>
    <n v="0.47289524692398455"/>
    <n v="0.86842857142857144"/>
    <n v="80"/>
    <n v="1449.6499999999999"/>
  </r>
  <r>
    <d v="2024-08-03T00:00:00"/>
    <x v="1"/>
    <n v="900.56"/>
    <n v="11.59"/>
    <n v="39.97"/>
    <n v="71.569999999999993"/>
    <n v="130.94999999999999"/>
    <n v="192.43"/>
    <n v="16.86"/>
    <n v="48.59"/>
    <n v="511.96"/>
    <n v="388.61"/>
    <s v="Aug"/>
    <n v="2024"/>
    <n v="0"/>
    <n v="0.43152038731455988"/>
    <n v="0.83442857142857141"/>
    <n v="80"/>
    <n v="1412.52"/>
  </r>
  <r>
    <d v="2024-08-04T00:00:00"/>
    <x v="0"/>
    <n v="419.97"/>
    <n v="79.25"/>
    <n v="40.89"/>
    <n v="42.06"/>
    <n v="127.46"/>
    <n v="161.80000000000001"/>
    <n v="27.16"/>
    <n v="37.619999999999997"/>
    <n v="516.25"/>
    <n v="-96.28"/>
    <s v="Aug"/>
    <n v="2024"/>
    <n v="1"/>
    <n v="-0.22925447055742076"/>
    <n v="0.47166666666666668"/>
    <n v="20"/>
    <n v="936.21"/>
  </r>
  <r>
    <d v="2024-08-05T00:00:00"/>
    <x v="1"/>
    <n v="1159.9100000000001"/>
    <n v="12.32"/>
    <n v="86.35"/>
    <n v="85.93"/>
    <n v="136.51"/>
    <n v="145.88"/>
    <n v="37.619999999999997"/>
    <n v="42.97"/>
    <n v="547.58000000000004"/>
    <n v="612.33000000000004"/>
    <s v="Aug"/>
    <n v="2024"/>
    <n v="0"/>
    <n v="0.52791164831754189"/>
    <n v="0.82399999999999995"/>
    <n v="80"/>
    <n v="1707.49"/>
  </r>
  <r>
    <d v="2024-08-06T00:00:00"/>
    <x v="1"/>
    <n v="819.72"/>
    <n v="12.58"/>
    <n v="53.59"/>
    <n v="92.72"/>
    <n v="105.46"/>
    <n v="149.91999999999999"/>
    <n v="21.78"/>
    <n v="72.13"/>
    <n v="508.19"/>
    <n v="311.52999999999997"/>
    <s v="Aug"/>
    <n v="2024"/>
    <n v="0"/>
    <n v="0.38004440540672418"/>
    <n v="0.82028571428571428"/>
    <n v="80"/>
    <n v="1327.9"/>
  </r>
  <r>
    <d v="2024-08-07T00:00:00"/>
    <x v="0"/>
    <n v="436.38"/>
    <n v="74.36"/>
    <n v="40.57"/>
    <n v="57.4"/>
    <n v="125.34"/>
    <n v="119.32"/>
    <n v="17.940000000000001"/>
    <n v="9.98"/>
    <n v="444.91"/>
    <n v="-8.5299999999999994"/>
    <s v="Aug"/>
    <n v="2024"/>
    <n v="1"/>
    <n v="-1.9547183647279892E-2"/>
    <n v="0.50426666666666664"/>
    <n v="20"/>
    <n v="881.29000000000019"/>
  </r>
  <r>
    <d v="2024-08-08T00:00:00"/>
    <x v="1"/>
    <n v="1029.8399999999999"/>
    <n v="18.239999999999998"/>
    <n v="50.34"/>
    <n v="127.22"/>
    <n v="70.48"/>
    <n v="118.75"/>
    <n v="24.02"/>
    <n v="55.71"/>
    <n v="464.75"/>
    <n v="565.09"/>
    <s v="Aug"/>
    <n v="2024"/>
    <n v="0"/>
    <n v="0.5487163054455062"/>
    <n v="0.73942857142857144"/>
    <n v="80"/>
    <n v="1494.6"/>
  </r>
  <r>
    <d v="2024-08-09T00:00:00"/>
    <x v="1"/>
    <n v="1286.79"/>
    <n v="12.71"/>
    <n v="81.569999999999993"/>
    <n v="78.84"/>
    <n v="91.55"/>
    <n v="200.93"/>
    <n v="27.87"/>
    <n v="16.350000000000001"/>
    <n v="509.82"/>
    <n v="776.96"/>
    <s v="Aug"/>
    <n v="2024"/>
    <n v="0"/>
    <n v="0.60379704536093692"/>
    <n v="0.81842857142857139"/>
    <n v="80"/>
    <n v="1796.6099999999997"/>
  </r>
  <r>
    <d v="2024-08-10T00:00:00"/>
    <x v="0"/>
    <n v="423.83"/>
    <n v="83.8"/>
    <n v="30.62"/>
    <n v="62.92"/>
    <n v="122.35"/>
    <n v="157.82"/>
    <n v="15.6"/>
    <n v="21.94"/>
    <n v="495.04"/>
    <n v="-71.22"/>
    <s v="Aug"/>
    <n v="2024"/>
    <n v="1"/>
    <n v="-0.16803907226954204"/>
    <n v="0.44133333333333336"/>
    <n v="20"/>
    <n v="918.88"/>
  </r>
  <r>
    <d v="2024-08-11T00:00:00"/>
    <x v="1"/>
    <n v="944.89"/>
    <n v="20.86"/>
    <n v="70.87"/>
    <n v="68.88"/>
    <n v="110.43"/>
    <n v="70.3"/>
    <n v="32.340000000000003"/>
    <n v="13.9"/>
    <n v="387.6"/>
    <n v="557.29"/>
    <s v="Aug"/>
    <n v="2024"/>
    <n v="0"/>
    <n v="0.58979352093894521"/>
    <n v="0.70199999999999996"/>
    <n v="80"/>
    <n v="1332.47"/>
  </r>
  <r>
    <d v="2024-08-12T00:00:00"/>
    <x v="0"/>
    <n v="331.88"/>
    <n v="58.8"/>
    <n v="20.58"/>
    <n v="78.22"/>
    <n v="98.31"/>
    <n v="160.4"/>
    <n v="19.62"/>
    <n v="35.72"/>
    <n v="471.65"/>
    <n v="-139.77000000000001"/>
    <s v="Aug"/>
    <n v="2024"/>
    <n v="1"/>
    <n v="-0.42114619742075454"/>
    <n v="0.6080000000000001"/>
    <n v="20"/>
    <n v="803.53"/>
  </r>
  <r>
    <d v="2024-08-13T00:00:00"/>
    <x v="1"/>
    <n v="965.36"/>
    <n v="8.59"/>
    <n v="79.930000000000007"/>
    <n v="65.19"/>
    <n v="63.87"/>
    <n v="155.02000000000001"/>
    <n v="35.51"/>
    <n v="52.75"/>
    <n v="460.84"/>
    <n v="504.52"/>
    <s v="Aug"/>
    <n v="2024"/>
    <n v="0"/>
    <n v="0.52262368442860696"/>
    <n v="0.87728571428571434"/>
    <n v="80"/>
    <n v="1426.22"/>
  </r>
  <r>
    <d v="2024-08-14T00:00:00"/>
    <x v="0"/>
    <n v="332.57"/>
    <n v="66.510000000000005"/>
    <n v="35.18"/>
    <n v="96.53"/>
    <n v="119.55"/>
    <n v="162.9"/>
    <n v="28.24"/>
    <n v="32.869999999999997"/>
    <n v="541.78"/>
    <n v="-209.21"/>
    <s v="Aug"/>
    <n v="2024"/>
    <n v="1"/>
    <n v="-0.62907057160898461"/>
    <n v="0.55659999999999998"/>
    <n v="20"/>
    <n v="874.34999999999991"/>
  </r>
  <r>
    <d v="2024-08-15T00:00:00"/>
    <x v="0"/>
    <n v="337.05"/>
    <n v="68.040000000000006"/>
    <n v="38.93"/>
    <n v="54.26"/>
    <n v="128.19"/>
    <n v="151.56"/>
    <n v="25.86"/>
    <n v="29.03"/>
    <n v="495.86"/>
    <n v="-158.81"/>
    <s v="Aug"/>
    <n v="2024"/>
    <n v="1"/>
    <n v="-0.47117638332591605"/>
    <n v="0.5464"/>
    <n v="20"/>
    <n v="832.92"/>
  </r>
  <r>
    <d v="2024-08-16T00:00:00"/>
    <x v="0"/>
    <n v="353.93"/>
    <n v="50.02"/>
    <n v="53.74"/>
    <n v="61.93"/>
    <n v="134.94999999999999"/>
    <n v="63.11"/>
    <n v="36.71"/>
    <n v="28.32"/>
    <n v="428.79"/>
    <n v="-74.86"/>
    <s v="Aug"/>
    <n v="2024"/>
    <n v="1"/>
    <n v="-0.21151075071341791"/>
    <n v="0.66653333333333331"/>
    <n v="20"/>
    <n v="782.71"/>
  </r>
  <r>
    <d v="2024-08-17T00:00:00"/>
    <x v="1"/>
    <n v="1171.6400000000001"/>
    <n v="9.8000000000000007"/>
    <n v="72.260000000000005"/>
    <n v="48.4"/>
    <n v="82.52"/>
    <n v="236.99"/>
    <n v="20.28"/>
    <n v="43.26"/>
    <n v="513.51"/>
    <n v="658.12"/>
    <s v="Aug"/>
    <n v="2024"/>
    <n v="0"/>
    <n v="0.56170837458605027"/>
    <n v="0.86"/>
    <n v="80"/>
    <n v="1685.15"/>
  </r>
  <r>
    <d v="2024-08-18T00:00:00"/>
    <x v="0"/>
    <n v="393.5"/>
    <n v="74.959999999999994"/>
    <n v="42.26"/>
    <n v="62.3"/>
    <n v="170.09"/>
    <n v="148.27000000000001"/>
    <n v="21.61"/>
    <n v="42.61"/>
    <n v="562.09"/>
    <n v="-168.58"/>
    <s v="Aug"/>
    <n v="2024"/>
    <n v="1"/>
    <n v="-0.42841168996188062"/>
    <n v="0.50026666666666664"/>
    <n v="20"/>
    <n v="955.6"/>
  </r>
  <r>
    <d v="2024-08-19T00:00:00"/>
    <x v="1"/>
    <n v="1171.1099999999999"/>
    <n v="20.94"/>
    <n v="72.77"/>
    <n v="45.71"/>
    <n v="127.67"/>
    <n v="129.88"/>
    <n v="24.72"/>
    <n v="28.69"/>
    <n v="450.38"/>
    <n v="720.73"/>
    <s v="Aug"/>
    <n v="2024"/>
    <n v="0"/>
    <n v="0.6154246825661126"/>
    <n v="0.70085714285714285"/>
    <n v="80"/>
    <n v="1621.49"/>
  </r>
  <r>
    <d v="2024-08-20T00:00:00"/>
    <x v="0"/>
    <n v="346.79"/>
    <n v="73.290000000000006"/>
    <n v="44.82"/>
    <n v="63.44"/>
    <n v="150.34"/>
    <n v="163.61000000000001"/>
    <n v="18.05"/>
    <n v="41.57"/>
    <n v="555.11"/>
    <n v="-208.32"/>
    <s v="Aug"/>
    <n v="2024"/>
    <n v="1"/>
    <n v="-0.60070936301508115"/>
    <n v="0.51139999999999997"/>
    <n v="20"/>
    <n v="901.91000000000008"/>
  </r>
  <r>
    <d v="2024-08-21T00:00:00"/>
    <x v="0"/>
    <n v="409.47"/>
    <n v="57.72"/>
    <n v="48.96"/>
    <n v="69.02"/>
    <n v="102.56"/>
    <n v="191.27"/>
    <n v="18.8"/>
    <n v="31.51"/>
    <n v="519.85"/>
    <n v="-110.37"/>
    <s v="Aug"/>
    <n v="2024"/>
    <n v="1"/>
    <n v="-0.26954355630449117"/>
    <n v="0.61519999999999997"/>
    <n v="20"/>
    <n v="929.31"/>
  </r>
  <r>
    <d v="2024-08-22T00:00:00"/>
    <x v="0"/>
    <n v="341.35"/>
    <n v="70.16"/>
    <n v="23.56"/>
    <n v="26.2"/>
    <n v="149.86000000000001"/>
    <n v="124.59"/>
    <n v="12.07"/>
    <n v="4.16"/>
    <n v="410.59"/>
    <n v="-69.25"/>
    <s v="Aug"/>
    <n v="2024"/>
    <n v="1"/>
    <n v="-0.20287095356672036"/>
    <n v="0.53226666666666667"/>
    <n v="20"/>
    <n v="751.95"/>
  </r>
  <r>
    <d v="2024-08-23T00:00:00"/>
    <x v="1"/>
    <n v="822.21"/>
    <n v="8.3800000000000008"/>
    <n v="92.84"/>
    <n v="110.29"/>
    <n v="81.239999999999995"/>
    <n v="248.84"/>
    <n v="30.84"/>
    <n v="35.130000000000003"/>
    <n v="607.55999999999995"/>
    <n v="214.65"/>
    <s v="Aug"/>
    <n v="2024"/>
    <n v="0"/>
    <n v="0.26106469150217099"/>
    <n v="0.88028571428571423"/>
    <n v="80"/>
    <n v="1429.77"/>
  </r>
  <r>
    <d v="2024-08-24T00:00:00"/>
    <x v="1"/>
    <n v="450.12"/>
    <n v="26.45"/>
    <n v="32.21"/>
    <n v="30.64"/>
    <n v="115.45"/>
    <n v="255.39"/>
    <n v="34.46"/>
    <n v="48.46"/>
    <n v="543.05999999999995"/>
    <n v="-92.94"/>
    <s v="Aug"/>
    <n v="2024"/>
    <n v="0"/>
    <n v="-0.20647827246067715"/>
    <n v="0.62214285714285711"/>
    <n v="20"/>
    <n v="993.18000000000006"/>
  </r>
  <r>
    <d v="2024-08-25T00:00:00"/>
    <x v="1"/>
    <n v="1068.95"/>
    <n v="19.27"/>
    <n v="75.180000000000007"/>
    <n v="88.44"/>
    <n v="97.08"/>
    <n v="167.81"/>
    <n v="15.21"/>
    <n v="35.79"/>
    <n v="498.78"/>
    <n v="570.16999999999996"/>
    <s v="Aug"/>
    <n v="2024"/>
    <n v="0"/>
    <n v="0.53339258150521529"/>
    <n v="0.72471428571428564"/>
    <n v="80"/>
    <n v="1567.73"/>
  </r>
  <r>
    <d v="2024-08-26T00:00:00"/>
    <x v="0"/>
    <n v="265.35000000000002"/>
    <n v="69.02"/>
    <n v="25.17"/>
    <n v="32.93"/>
    <n v="114.5"/>
    <n v="191.76"/>
    <n v="27.35"/>
    <n v="11.15"/>
    <n v="471.87"/>
    <n v="-206.52"/>
    <s v="Aug"/>
    <n v="2024"/>
    <n v="1"/>
    <n v="-0.77829282080271334"/>
    <n v="0.53986666666666672"/>
    <n v="20"/>
    <n v="737.23"/>
  </r>
  <r>
    <d v="2024-08-27T00:00:00"/>
    <x v="0"/>
    <n v="300.52"/>
    <n v="79.41"/>
    <n v="25.26"/>
    <n v="50.51"/>
    <n v="123.75"/>
    <n v="120.95"/>
    <n v="20.84"/>
    <n v="13.99"/>
    <n v="434.71"/>
    <n v="-134.19"/>
    <s v="Aug"/>
    <n v="2024"/>
    <n v="1"/>
    <n v="-0.44652602156262483"/>
    <n v="0.47060000000000002"/>
    <n v="20"/>
    <n v="735.23"/>
  </r>
  <r>
    <d v="2024-08-28T00:00:00"/>
    <x v="1"/>
    <n v="829.73"/>
    <n v="16.600000000000001"/>
    <n v="28.14"/>
    <n v="93.21"/>
    <n v="94.61"/>
    <n v="189.34"/>
    <n v="24.02"/>
    <n v="60.46"/>
    <n v="506.38"/>
    <n v="323.35000000000002"/>
    <s v="Aug"/>
    <n v="2024"/>
    <n v="0"/>
    <n v="0.38970508478661736"/>
    <n v="0.7628571428571429"/>
    <n v="80"/>
    <n v="1336.11"/>
  </r>
  <r>
    <d v="2024-08-29T00:00:00"/>
    <x v="0"/>
    <n v="356.26"/>
    <n v="65.709999999999994"/>
    <n v="41.83"/>
    <n v="65.87"/>
    <n v="111.22"/>
    <n v="151.22"/>
    <n v="14.38"/>
    <n v="22.05"/>
    <n v="472.27"/>
    <n v="-116.01"/>
    <s v="Aug"/>
    <n v="2024"/>
    <n v="1"/>
    <n v="-0.3256329646887105"/>
    <n v="0.5619333333333334"/>
    <n v="20"/>
    <n v="828.54"/>
  </r>
  <r>
    <d v="2024-08-30T00:00:00"/>
    <x v="1"/>
    <n v="669.48"/>
    <n v="23.75"/>
    <n v="35.119999999999997"/>
    <n v="59.21"/>
    <n v="80.63"/>
    <n v="201.32"/>
    <n v="19.350000000000001"/>
    <n v="58.72"/>
    <n v="478.1"/>
    <n v="191.38"/>
    <s v="Aug"/>
    <n v="2024"/>
    <n v="0"/>
    <n v="0.28586365537432035"/>
    <n v="0.6607142857142857"/>
    <n v="80"/>
    <n v="1147.58"/>
  </r>
  <r>
    <d v="2024-08-31T00:00:00"/>
    <x v="0"/>
    <n v="316.33"/>
    <n v="72.790000000000006"/>
    <n v="27.47"/>
    <n v="97.9"/>
    <n v="80.31"/>
    <n v="159.29"/>
    <n v="25.07"/>
    <n v="34.97"/>
    <n v="497.8"/>
    <n v="-181.48"/>
    <s v="Aug"/>
    <n v="2024"/>
    <n v="1"/>
    <n v="-0.57370467549710746"/>
    <n v="0.51473333333333327"/>
    <n v="20"/>
    <n v="814.13"/>
  </r>
  <r>
    <d v="2024-09-01T00:00:00"/>
    <x v="0"/>
    <n v="340.74"/>
    <n v="68.7"/>
    <n v="40.659999999999997"/>
    <n v="52.06"/>
    <n v="134.1"/>
    <n v="216.32"/>
    <n v="15.54"/>
    <n v="13.56"/>
    <n v="540.92999999999995"/>
    <n v="-200.2"/>
    <s v="Sep"/>
    <n v="2024"/>
    <n v="1"/>
    <n v="-0.58754475553207719"/>
    <n v="0.54200000000000004"/>
    <n v="20"/>
    <n v="881.67999999999984"/>
  </r>
  <r>
    <d v="2024-09-02T00:00:00"/>
    <x v="0"/>
    <n v="345.59"/>
    <n v="95.8"/>
    <n v="27.94"/>
    <n v="87.78"/>
    <n v="151.94"/>
    <n v="133.38999999999999"/>
    <n v="24.55"/>
    <n v="49.54"/>
    <n v="570.95000000000005"/>
    <n v="-225.37"/>
    <s v="Sep"/>
    <n v="2024"/>
    <n v="1"/>
    <n v="-0.65213113805376322"/>
    <n v="0.3613333333333334"/>
    <n v="20"/>
    <n v="916.52999999999986"/>
  </r>
  <r>
    <d v="2024-09-03T00:00:00"/>
    <x v="0"/>
    <n v="331.04"/>
    <n v="67.959999999999994"/>
    <n v="31.27"/>
    <n v="34.700000000000003"/>
    <n v="93.77"/>
    <n v="113.28"/>
    <n v="20.27"/>
    <n v="20.76"/>
    <n v="382.03"/>
    <n v="-50.98"/>
    <s v="Sep"/>
    <n v="2024"/>
    <n v="1"/>
    <n v="-0.15399951667472206"/>
    <n v="0.54693333333333338"/>
    <n v="20"/>
    <n v="713.05"/>
  </r>
  <r>
    <d v="2024-09-04T00:00:00"/>
    <x v="0"/>
    <n v="361.69"/>
    <n v="54.44"/>
    <n v="44.96"/>
    <n v="71.67"/>
    <n v="60.16"/>
    <n v="161.22"/>
    <n v="29.82"/>
    <n v="15.48"/>
    <n v="437.76"/>
    <n v="-76.069999999999993"/>
    <s v="Sep"/>
    <n v="2024"/>
    <n v="1"/>
    <n v="-0.21031822831706709"/>
    <n v="0.63706666666666667"/>
    <n v="20"/>
    <n v="799.44"/>
  </r>
  <r>
    <d v="2024-09-05T00:00:00"/>
    <x v="0"/>
    <n v="433.63"/>
    <n v="74.19"/>
    <n v="29.42"/>
    <n v="53.88"/>
    <n v="123.96"/>
    <n v="152.28"/>
    <n v="24.31"/>
    <n v="18.95"/>
    <n v="477"/>
    <n v="-43.37"/>
    <s v="Sep"/>
    <n v="2024"/>
    <n v="1"/>
    <n v="-0.10001614279454835"/>
    <n v="0.50540000000000007"/>
    <n v="20"/>
    <n v="910.62"/>
  </r>
  <r>
    <d v="2024-09-06T00:00:00"/>
    <x v="1"/>
    <n v="983.87"/>
    <n v="7.93"/>
    <n v="57.78"/>
    <n v="52.88"/>
    <n v="80.290000000000006"/>
    <n v="213.26"/>
    <n v="31.82"/>
    <n v="49.14"/>
    <n v="493.1"/>
    <n v="490.77"/>
    <s v="Sep"/>
    <n v="2024"/>
    <n v="0"/>
    <n v="0.49881590047465618"/>
    <n v="0.88671428571428568"/>
    <n v="80"/>
    <n v="1476.97"/>
  </r>
  <r>
    <d v="2024-09-07T00:00:00"/>
    <x v="0"/>
    <n v="295.38"/>
    <n v="66.84"/>
    <n v="58.2"/>
    <n v="57.83"/>
    <n v="167.98"/>
    <n v="161.80000000000001"/>
    <n v="21.54"/>
    <n v="26.29"/>
    <n v="560.48"/>
    <n v="-265.08999999999997"/>
    <s v="Sep"/>
    <n v="2024"/>
    <n v="1"/>
    <n v="-0.89745412688739923"/>
    <n v="0.5544"/>
    <n v="20"/>
    <n v="855.8599999999999"/>
  </r>
  <r>
    <d v="2024-09-08T00:00:00"/>
    <x v="0"/>
    <n v="356.68"/>
    <n v="68.48"/>
    <n v="50.62"/>
    <n v="74.13"/>
    <n v="90.35"/>
    <n v="110.06"/>
    <n v="5.31"/>
    <n v="36.1"/>
    <n v="435.05"/>
    <n v="-78.37"/>
    <s v="Sep"/>
    <n v="2024"/>
    <n v="1"/>
    <n v="-0.21972075810250086"/>
    <n v="0.54346666666666665"/>
    <n v="20"/>
    <n v="791.73000000000013"/>
  </r>
  <r>
    <d v="2024-09-09T00:00:00"/>
    <x v="0"/>
    <n v="294.83"/>
    <n v="48.47"/>
    <n v="45.83"/>
    <n v="104.86"/>
    <n v="109.85"/>
    <n v="175.15"/>
    <n v="20.65"/>
    <n v="28.81"/>
    <n v="533.63"/>
    <n v="-238.8"/>
    <s v="Sep"/>
    <n v="2024"/>
    <n v="1"/>
    <n v="-0.80995828104331313"/>
    <n v="0.67686666666666673"/>
    <n v="20"/>
    <n v="828.44999999999982"/>
  </r>
  <r>
    <d v="2024-09-10T00:00:00"/>
    <x v="1"/>
    <n v="1133.82"/>
    <n v="13.55"/>
    <n v="65.349999999999994"/>
    <n v="89.65"/>
    <n v="81.64"/>
    <n v="204.72"/>
    <n v="20.43"/>
    <n v="28.66"/>
    <n v="504"/>
    <n v="629.82000000000005"/>
    <s v="Sep"/>
    <n v="2024"/>
    <n v="0"/>
    <n v="0.55548499761866965"/>
    <n v="0.80642857142857138"/>
    <n v="80"/>
    <n v="1637.8200000000002"/>
  </r>
  <r>
    <d v="2024-09-11T00:00:00"/>
    <x v="0"/>
    <n v="376.83"/>
    <n v="61.02"/>
    <n v="40.42"/>
    <n v="54.82"/>
    <n v="137.15"/>
    <n v="164.24"/>
    <n v="19.8"/>
    <n v="39.81"/>
    <n v="517.26"/>
    <n v="-140.43"/>
    <s v="Sep"/>
    <n v="2024"/>
    <n v="1"/>
    <n v="-0.37266141230793731"/>
    <n v="0.59319999999999995"/>
    <n v="20"/>
    <n v="894.08999999999992"/>
  </r>
  <r>
    <d v="2024-09-12T00:00:00"/>
    <x v="0"/>
    <n v="419.51"/>
    <n v="75.58"/>
    <n v="40.159999999999997"/>
    <n v="28.76"/>
    <n v="83.37"/>
    <n v="140.84"/>
    <n v="15.12"/>
    <n v="27.76"/>
    <n v="411.59"/>
    <n v="7.92"/>
    <s v="Sep"/>
    <n v="2024"/>
    <n v="1"/>
    <n v="1.8879168553788944E-2"/>
    <n v="0.49613333333333332"/>
    <n v="40"/>
    <n v="831.1"/>
  </r>
  <r>
    <d v="2024-09-13T00:00:00"/>
    <x v="1"/>
    <n v="961.33"/>
    <n v="17.649999999999999"/>
    <n v="58.59"/>
    <n v="94.6"/>
    <n v="96.29"/>
    <n v="100.86"/>
    <n v="13.55"/>
    <n v="37.840000000000003"/>
    <n v="419.37"/>
    <n v="541.96"/>
    <s v="Sep"/>
    <n v="2024"/>
    <n v="0"/>
    <n v="0.56376062330313215"/>
    <n v="0.74785714285714289"/>
    <n v="80"/>
    <n v="1380.7099999999996"/>
  </r>
  <r>
    <d v="2024-09-14T00:00:00"/>
    <x v="1"/>
    <n v="708.06"/>
    <n v="18"/>
    <n v="90.62"/>
    <n v="116.56"/>
    <n v="90.73"/>
    <n v="222.18"/>
    <n v="23.34"/>
    <n v="34.94"/>
    <n v="596.37"/>
    <n v="111.7"/>
    <s v="Sep"/>
    <n v="2024"/>
    <n v="0"/>
    <n v="0.15775499251475866"/>
    <n v="0.74285714285714288"/>
    <n v="60"/>
    <n v="1304.43"/>
  </r>
  <r>
    <d v="2024-09-15T00:00:00"/>
    <x v="0"/>
    <n v="319.33"/>
    <n v="66.98"/>
    <n v="34.18"/>
    <n v="58.41"/>
    <n v="114.01"/>
    <n v="150.09"/>
    <n v="23.5"/>
    <n v="44.29"/>
    <n v="491.45"/>
    <n v="-172.12"/>
    <s v="Sep"/>
    <n v="2024"/>
    <n v="1"/>
    <n v="-0.53900353865906747"/>
    <n v="0.55346666666666666"/>
    <n v="20"/>
    <n v="810.79"/>
  </r>
  <r>
    <d v="2024-09-16T00:00:00"/>
    <x v="1"/>
    <n v="1139.9100000000001"/>
    <n v="7.58"/>
    <n v="8.92"/>
    <n v="108.03"/>
    <n v="67.66"/>
    <n v="162.13"/>
    <n v="11.47"/>
    <n v="12.97"/>
    <n v="378.76"/>
    <n v="761.15"/>
    <s v="Sep"/>
    <n v="2024"/>
    <n v="0"/>
    <n v="0.66772815397706831"/>
    <n v="0.89171428571428568"/>
    <n v="80"/>
    <n v="1518.67"/>
  </r>
  <r>
    <d v="2024-09-17T00:00:00"/>
    <x v="0"/>
    <n v="377.07"/>
    <n v="77.59"/>
    <n v="31.35"/>
    <n v="3.18"/>
    <n v="96.34"/>
    <n v="161.75"/>
    <n v="8.17"/>
    <n v="32.200000000000003"/>
    <n v="410.59"/>
    <n v="-33.520000000000003"/>
    <s v="Sep"/>
    <n v="2024"/>
    <n v="1"/>
    <n v="-8.8895960962155574E-2"/>
    <n v="0.48273333333333335"/>
    <n v="20"/>
    <n v="787.65"/>
  </r>
  <r>
    <d v="2024-09-18T00:00:00"/>
    <x v="0"/>
    <n v="349.23"/>
    <n v="75.790000000000006"/>
    <n v="41.79"/>
    <n v="35.54"/>
    <n v="139.91"/>
    <n v="145.24"/>
    <n v="19.78"/>
    <n v="18.8"/>
    <n v="476.87"/>
    <n v="-127.63"/>
    <s v="Sep"/>
    <n v="2024"/>
    <n v="1"/>
    <n v="-0.36546115740343038"/>
    <n v="0.49473333333333325"/>
    <n v="20"/>
    <n v="826.08"/>
  </r>
  <r>
    <d v="2024-09-19T00:00:00"/>
    <x v="1"/>
    <n v="861.34"/>
    <n v="10.58"/>
    <n v="56.54"/>
    <n v="131.35"/>
    <n v="67.56"/>
    <n v="113.53"/>
    <n v="35.24"/>
    <n v="36.86"/>
    <n v="451.66"/>
    <n v="409.69"/>
    <s v="Sep"/>
    <n v="2024"/>
    <n v="0"/>
    <n v="0.47564260338542269"/>
    <n v="0.84885714285714287"/>
    <n v="80"/>
    <n v="1312.9999999999998"/>
  </r>
  <r>
    <d v="2024-09-20T00:00:00"/>
    <x v="1"/>
    <n v="816.19"/>
    <n v="20.2"/>
    <n v="47.89"/>
    <n v="134.78"/>
    <n v="108.56"/>
    <n v="152.91999999999999"/>
    <n v="41.42"/>
    <n v="30.91"/>
    <n v="536.67999999999995"/>
    <n v="279.51"/>
    <s v="Sep"/>
    <n v="2024"/>
    <n v="0"/>
    <n v="0.34245702593758803"/>
    <n v="0.71142857142857152"/>
    <n v="80"/>
    <n v="1352.8700000000003"/>
  </r>
  <r>
    <d v="2024-09-21T00:00:00"/>
    <x v="0"/>
    <n v="387.1"/>
    <n v="72.989999999999995"/>
    <n v="59.53"/>
    <n v="86.23"/>
    <n v="110.8"/>
    <n v="127.4"/>
    <n v="23.68"/>
    <n v="21.87"/>
    <n v="502.49"/>
    <n v="-115.39"/>
    <s v="Sep"/>
    <n v="2024"/>
    <n v="1"/>
    <n v="-0.2980883492637561"/>
    <n v="0.51340000000000008"/>
    <n v="20"/>
    <n v="889.59999999999991"/>
  </r>
  <r>
    <d v="2024-09-22T00:00:00"/>
    <x v="1"/>
    <n v="1352.68"/>
    <n v="15.68"/>
    <n v="52.69"/>
    <n v="85.54"/>
    <n v="68.06"/>
    <n v="135.99"/>
    <n v="32.799999999999997"/>
    <n v="30.15"/>
    <n v="420.92"/>
    <n v="931.76"/>
    <s v="Sep"/>
    <n v="2024"/>
    <n v="0"/>
    <n v="0.68882514711535614"/>
    <n v="0.77600000000000002"/>
    <n v="80"/>
    <n v="1773.5900000000001"/>
  </r>
  <r>
    <d v="2024-09-23T00:00:00"/>
    <x v="0"/>
    <n v="297.64999999999998"/>
    <n v="75.37"/>
    <n v="57.79"/>
    <n v="69.38"/>
    <n v="134.9"/>
    <n v="127.3"/>
    <n v="8.6300000000000008"/>
    <n v="48.02"/>
    <n v="521.37"/>
    <n v="-223.72"/>
    <s v="Sep"/>
    <n v="2024"/>
    <n v="1"/>
    <n v="-0.75162103141273318"/>
    <n v="0.49753333333333327"/>
    <n v="20"/>
    <n v="819.04"/>
  </r>
  <r>
    <d v="2024-09-24T00:00:00"/>
    <x v="1"/>
    <n v="885.46"/>
    <n v="13.75"/>
    <n v="86.56"/>
    <n v="96.69"/>
    <n v="104.12"/>
    <n v="245.78"/>
    <n v="16.21"/>
    <n v="53.92"/>
    <n v="617.02"/>
    <n v="268.45"/>
    <s v="Sep"/>
    <n v="2024"/>
    <n v="0"/>
    <n v="0.30317575045738937"/>
    <n v="0.8035714285714286"/>
    <n v="80"/>
    <n v="1502.49"/>
  </r>
  <r>
    <d v="2024-09-25T00:00:00"/>
    <x v="1"/>
    <n v="961.4"/>
    <n v="16.34"/>
    <n v="90.57"/>
    <n v="95.24"/>
    <n v="105.77"/>
    <n v="207.54"/>
    <n v="18.72"/>
    <n v="27.41"/>
    <n v="561.58000000000004"/>
    <n v="399.82"/>
    <s v="Sep"/>
    <n v="2024"/>
    <n v="0"/>
    <n v="0.41587268566673602"/>
    <n v="0.76657142857142857"/>
    <n v="80"/>
    <n v="1522.99"/>
  </r>
  <r>
    <d v="2024-09-26T00:00:00"/>
    <x v="1"/>
    <n v="741.04"/>
    <n v="5.17"/>
    <n v="101.12"/>
    <n v="46.9"/>
    <n v="90.57"/>
    <n v="160.31"/>
    <n v="24.77"/>
    <n v="52.24"/>
    <n v="481.09"/>
    <n v="259.95"/>
    <s v="Sep"/>
    <n v="2024"/>
    <n v="0"/>
    <n v="0.35079078052466806"/>
    <n v="0.92614285714285716"/>
    <n v="80"/>
    <n v="1222.1199999999999"/>
  </r>
  <r>
    <d v="2024-09-27T00:00:00"/>
    <x v="0"/>
    <n v="393.02"/>
    <n v="64.17"/>
    <n v="37.49"/>
    <n v="60.65"/>
    <n v="103.78"/>
    <n v="198.22"/>
    <n v="23.93"/>
    <n v="38.82"/>
    <n v="527.05999999999995"/>
    <n v="-134.04"/>
    <s v="Sep"/>
    <n v="2024"/>
    <n v="1"/>
    <n v="-0.34105134598748155"/>
    <n v="0.57220000000000004"/>
    <n v="20"/>
    <n v="920.08"/>
  </r>
  <r>
    <d v="2024-09-28T00:00:00"/>
    <x v="1"/>
    <n v="1082.58"/>
    <n v="20.87"/>
    <n v="63.62"/>
    <n v="41.1"/>
    <n v="102.99"/>
    <n v="147.19999999999999"/>
    <n v="17.239999999999998"/>
    <n v="48.8"/>
    <n v="441.82"/>
    <n v="640.76"/>
    <s v="Sep"/>
    <n v="2024"/>
    <n v="0"/>
    <n v="0.59188235511463361"/>
    <n v="0.70185714285714285"/>
    <n v="80"/>
    <n v="1524.3999999999996"/>
  </r>
  <r>
    <d v="2024-09-29T00:00:00"/>
    <x v="0"/>
    <n v="411.91"/>
    <n v="70.209999999999994"/>
    <n v="44.63"/>
    <n v="89.04"/>
    <n v="116.02"/>
    <n v="228.05"/>
    <n v="24.52"/>
    <n v="8.8699999999999992"/>
    <n v="581.35"/>
    <n v="-169.44"/>
    <s v="Sep"/>
    <n v="2024"/>
    <n v="1"/>
    <n v="-0.41135199436770165"/>
    <n v="0.53193333333333337"/>
    <n v="20"/>
    <n v="993.24999999999989"/>
  </r>
  <r>
    <d v="2024-09-30T00:00:00"/>
    <x v="0"/>
    <n v="387.67"/>
    <n v="73.81"/>
    <n v="59.35"/>
    <n v="68.459999999999994"/>
    <n v="106.54"/>
    <n v="113.27"/>
    <n v="18.329999999999998"/>
    <n v="19.79"/>
    <n v="459.55"/>
    <n v="-71.89"/>
    <s v="Sep"/>
    <n v="2024"/>
    <n v="1"/>
    <n v="-0.18544122578481698"/>
    <n v="0.50793333333333335"/>
    <n v="20"/>
    <n v="847.22"/>
  </r>
  <r>
    <d v="2024-10-01T00:00:00"/>
    <x v="1"/>
    <n v="833.9"/>
    <n v="17.940000000000001"/>
    <n v="93.4"/>
    <n v="91.84"/>
    <n v="71.08"/>
    <n v="185.56"/>
    <n v="32.770000000000003"/>
    <n v="30.85"/>
    <n v="523.45000000000005"/>
    <n v="310.45"/>
    <s v="Oct"/>
    <n v="2024"/>
    <n v="0"/>
    <n v="0.37228684494543712"/>
    <n v="0.74371428571428577"/>
    <n v="80"/>
    <n v="1357.3399999999997"/>
  </r>
  <r>
    <d v="2024-10-02T00:00:00"/>
    <x v="0"/>
    <n v="343.3"/>
    <n v="70.150000000000006"/>
    <n v="28.23"/>
    <n v="67.97"/>
    <n v="106.98"/>
    <n v="162.59"/>
    <n v="12.9"/>
    <n v="24.75"/>
    <n v="473.55"/>
    <n v="-130.25"/>
    <s v="Oct"/>
    <n v="2024"/>
    <n v="1"/>
    <n v="-0.37940576755024757"/>
    <n v="0.53233333333333333"/>
    <n v="20"/>
    <n v="816.87000000000012"/>
  </r>
  <r>
    <d v="2024-10-03T00:00:00"/>
    <x v="1"/>
    <n v="1094.48"/>
    <n v="13.14"/>
    <n v="94.54"/>
    <n v="68.010000000000005"/>
    <n v="99.49"/>
    <n v="202.64"/>
    <n v="9.23"/>
    <n v="13.59"/>
    <n v="500.64"/>
    <n v="593.83000000000004"/>
    <s v="Oct"/>
    <n v="2024"/>
    <n v="0"/>
    <n v="0.542568160222206"/>
    <n v="0.81228571428571428"/>
    <n v="80"/>
    <n v="1595.1200000000001"/>
  </r>
  <r>
    <d v="2024-10-04T00:00:00"/>
    <x v="0"/>
    <n v="273.72000000000003"/>
    <n v="82.63"/>
    <n v="31.72"/>
    <n v="106.16"/>
    <n v="95.89"/>
    <n v="155.54"/>
    <n v="32.340000000000003"/>
    <n v="54.07"/>
    <n v="558.35"/>
    <n v="-284.64"/>
    <s v="Oct"/>
    <n v="2024"/>
    <n v="1"/>
    <n v="-1.0398947829899166"/>
    <n v="0.44913333333333338"/>
    <n v="20"/>
    <n v="832.07"/>
  </r>
  <r>
    <d v="2024-10-05T00:00:00"/>
    <x v="0"/>
    <n v="453.08"/>
    <n v="82.08"/>
    <n v="55.36"/>
    <n v="66.849999999999994"/>
    <n v="129.46"/>
    <n v="133.46"/>
    <n v="13.45"/>
    <n v="29.96"/>
    <n v="510.63"/>
    <n v="-57.56"/>
    <s v="Oct"/>
    <n v="2024"/>
    <n v="1"/>
    <n v="-0.12704158206056326"/>
    <n v="0.45279999999999998"/>
    <n v="20"/>
    <n v="963.70000000000016"/>
  </r>
  <r>
    <d v="2024-10-06T00:00:00"/>
    <x v="1"/>
    <n v="915.96"/>
    <n v="12.73"/>
    <n v="73.930000000000007"/>
    <n v="108.66"/>
    <n v="96.77"/>
    <n v="221.71"/>
    <n v="11.72"/>
    <n v="37.1"/>
    <n v="562.62"/>
    <n v="353.34"/>
    <s v="Oct"/>
    <n v="2024"/>
    <n v="0"/>
    <n v="0.38575920345866627"/>
    <n v="0.81814285714285717"/>
    <n v="80"/>
    <n v="1478.5800000000002"/>
  </r>
  <r>
    <d v="2024-10-07T00:00:00"/>
    <x v="0"/>
    <n v="314.16000000000003"/>
    <n v="51.33"/>
    <n v="38.76"/>
    <n v="52.57"/>
    <n v="147.84"/>
    <n v="168.92"/>
    <n v="11.81"/>
    <n v="52.25"/>
    <n v="523.48"/>
    <n v="-209.32"/>
    <s v="Oct"/>
    <n v="2024"/>
    <n v="1"/>
    <n v="-0.66628469569646032"/>
    <n v="0.65779999999999994"/>
    <n v="20"/>
    <n v="837.63999999999987"/>
  </r>
  <r>
    <d v="2024-10-08T00:00:00"/>
    <x v="0"/>
    <n v="411.05"/>
    <n v="75.819999999999993"/>
    <n v="36.6"/>
    <n v="35.81"/>
    <n v="100.69"/>
    <n v="182.66"/>
    <n v="35.08"/>
    <n v="48.52"/>
    <n v="515.19000000000005"/>
    <n v="-104.14"/>
    <s v="Oct"/>
    <n v="2024"/>
    <n v="1"/>
    <n v="-0.25335117382313588"/>
    <n v="0.49453333333333338"/>
    <n v="20"/>
    <n v="926.23"/>
  </r>
  <r>
    <d v="2024-10-09T00:00:00"/>
    <x v="1"/>
    <n v="852.23"/>
    <n v="9.4"/>
    <n v="62.82"/>
    <n v="26.95"/>
    <n v="101.46"/>
    <n v="164.83"/>
    <n v="17.809999999999999"/>
    <n v="16.079999999999998"/>
    <n v="399.35"/>
    <n v="452.88"/>
    <s v="Oct"/>
    <n v="2024"/>
    <n v="0"/>
    <n v="0.5314058411461694"/>
    <n v="0.86571428571428566"/>
    <n v="80"/>
    <n v="1251.58"/>
  </r>
  <r>
    <d v="2024-10-10T00:00:00"/>
    <x v="1"/>
    <n v="1052.72"/>
    <n v="12.34"/>
    <n v="36.6"/>
    <n v="-6.17"/>
    <n v="94.45"/>
    <n v="232.03"/>
    <n v="36.950000000000003"/>
    <n v="33.14"/>
    <n v="439.34"/>
    <n v="613.38"/>
    <s v="Oct"/>
    <n v="2024"/>
    <n v="0"/>
    <n v="0.58266205638726343"/>
    <n v="0.82371428571428573"/>
    <n v="80"/>
    <n v="1492.06"/>
  </r>
  <r>
    <d v="2024-10-11T00:00:00"/>
    <x v="1"/>
    <n v="829.56"/>
    <n v="17.34"/>
    <n v="40.03"/>
    <n v="89.05"/>
    <n v="110.32"/>
    <n v="212.94"/>
    <n v="21.1"/>
    <n v="36.94"/>
    <n v="527.74"/>
    <n v="301.82"/>
    <s v="Oct"/>
    <n v="2024"/>
    <n v="0"/>
    <n v="0.36383142870919527"/>
    <n v="0.75228571428571422"/>
    <n v="80"/>
    <n v="1357.28"/>
  </r>
  <r>
    <d v="2024-10-12T00:00:00"/>
    <x v="0"/>
    <n v="306.10000000000002"/>
    <n v="61.73"/>
    <n v="36.6"/>
    <n v="62.35"/>
    <n v="132.84"/>
    <n v="125.9"/>
    <n v="31.94"/>
    <n v="26.75"/>
    <n v="478.11"/>
    <n v="-172.01"/>
    <s v="Oct"/>
    <n v="2024"/>
    <n v="1"/>
    <n v="-0.56194054230643575"/>
    <n v="0.58846666666666669"/>
    <n v="20"/>
    <n v="784.21000000000015"/>
  </r>
  <r>
    <d v="2024-10-13T00:00:00"/>
    <x v="1"/>
    <n v="945.73"/>
    <n v="11.26"/>
    <n v="11.52"/>
    <n v="106.52"/>
    <n v="109.74"/>
    <n v="160.15"/>
    <n v="22.6"/>
    <n v="47.74"/>
    <n v="469.53"/>
    <n v="476.19"/>
    <s v="Oct"/>
    <n v="2024"/>
    <n v="0"/>
    <n v="0.5035158026075095"/>
    <n v="0.83914285714285719"/>
    <n v="80"/>
    <n v="1415.26"/>
  </r>
  <r>
    <d v="2024-10-14T00:00:00"/>
    <x v="0"/>
    <n v="271.87"/>
    <n v="64.709999999999994"/>
    <n v="51.91"/>
    <n v="29.91"/>
    <n v="117.34"/>
    <n v="109.3"/>
    <n v="23.73"/>
    <n v="29.57"/>
    <n v="426.48"/>
    <n v="-154.61000000000001"/>
    <s v="Oct"/>
    <n v="2024"/>
    <n v="1"/>
    <n v="-0.5686909184536727"/>
    <n v="0.56859999999999999"/>
    <n v="20"/>
    <n v="698.34"/>
  </r>
  <r>
    <d v="2024-10-15T00:00:00"/>
    <x v="1"/>
    <n v="626.97"/>
    <n v="20.82"/>
    <n v="45.31"/>
    <n v="55.69"/>
    <n v="99.01"/>
    <n v="210.2"/>
    <n v="12.86"/>
    <n v="40.93"/>
    <n v="484.82"/>
    <n v="142.15"/>
    <s v="Oct"/>
    <n v="2024"/>
    <n v="0"/>
    <n v="0.22672536166004753"/>
    <n v="0.70257142857142862"/>
    <n v="80"/>
    <n v="1111.7900000000002"/>
  </r>
  <r>
    <d v="2024-10-16T00:00:00"/>
    <x v="0"/>
    <n v="371.44"/>
    <n v="76.930000000000007"/>
    <n v="42.65"/>
    <n v="47.66"/>
    <n v="89.31"/>
    <n v="152.58000000000001"/>
    <n v="11.42"/>
    <n v="-5.0599999999999996"/>
    <n v="415.5"/>
    <n v="-44.06"/>
    <s v="Oct"/>
    <n v="2024"/>
    <n v="1"/>
    <n v="-0.11861942709455095"/>
    <n v="0.48713333333333331"/>
    <n v="20"/>
    <n v="786.93000000000006"/>
  </r>
  <r>
    <d v="2024-10-17T00:00:00"/>
    <x v="0"/>
    <n v="371.83"/>
    <n v="79.040000000000006"/>
    <n v="4.5599999999999996"/>
    <n v="34.81"/>
    <n v="125.48"/>
    <n v="211.72"/>
    <n v="20.170000000000002"/>
    <n v="21.26"/>
    <n v="497.03"/>
    <n v="-125.21"/>
    <s v="Oct"/>
    <n v="2024"/>
    <n v="1"/>
    <n v="-0.33673990802248338"/>
    <n v="0.47306666666666664"/>
    <n v="20"/>
    <n v="868.87"/>
  </r>
  <r>
    <d v="2024-10-18T00:00:00"/>
    <x v="1"/>
    <n v="913.42"/>
    <n v="21.87"/>
    <n v="47.08"/>
    <n v="56.02"/>
    <n v="85.35"/>
    <n v="136.63"/>
    <n v="23.1"/>
    <n v="64.37"/>
    <n v="434.43"/>
    <n v="478.99"/>
    <s v="Oct"/>
    <n v="2024"/>
    <n v="0"/>
    <n v="0.52439184602920896"/>
    <n v="0.6875714285714285"/>
    <n v="80"/>
    <n v="1347.8399999999997"/>
  </r>
  <r>
    <d v="2024-10-19T00:00:00"/>
    <x v="0"/>
    <n v="366.15"/>
    <n v="67.48"/>
    <n v="35.619999999999997"/>
    <n v="23.74"/>
    <n v="132.08000000000001"/>
    <n v="147.66"/>
    <n v="18.559999999999999"/>
    <n v="68.319999999999993"/>
    <n v="493.45"/>
    <n v="-127.3"/>
    <s v="Oct"/>
    <n v="2024"/>
    <n v="1"/>
    <n v="-0.34767171924074836"/>
    <n v="0.55013333333333336"/>
    <n v="20"/>
    <n v="859.6099999999999"/>
  </r>
  <r>
    <d v="2024-10-20T00:00:00"/>
    <x v="0"/>
    <n v="364.94"/>
    <n v="62.48"/>
    <n v="33.6"/>
    <n v="77.97"/>
    <n v="112.83"/>
    <n v="106.85"/>
    <n v="27.35"/>
    <n v="21.98"/>
    <n v="443.08"/>
    <n v="-78.14"/>
    <s v="Oct"/>
    <n v="2024"/>
    <n v="1"/>
    <n v="-0.21411738915986189"/>
    <n v="0.58346666666666669"/>
    <n v="20"/>
    <n v="808.00000000000011"/>
  </r>
  <r>
    <d v="2024-10-21T00:00:00"/>
    <x v="0"/>
    <n v="443.66"/>
    <n v="80.8"/>
    <n v="33.29"/>
    <n v="80.62"/>
    <n v="111.7"/>
    <n v="175.58"/>
    <n v="23.88"/>
    <n v="19.84"/>
    <n v="525.71"/>
    <n v="-82.05"/>
    <s v="Oct"/>
    <n v="2024"/>
    <n v="1"/>
    <n v="-0.18493891718883829"/>
    <n v="0.46133333333333337"/>
    <n v="20"/>
    <n v="969.37000000000012"/>
  </r>
  <r>
    <d v="2024-10-22T00:00:00"/>
    <x v="1"/>
    <n v="821.29"/>
    <n v="20.149999999999999"/>
    <n v="53.3"/>
    <n v="67.89"/>
    <n v="75.900000000000006"/>
    <n v="184.83"/>
    <n v="40.56"/>
    <n v="23.99"/>
    <n v="466.62"/>
    <n v="354.67"/>
    <s v="Oct"/>
    <n v="2024"/>
    <n v="0"/>
    <n v="0.43184502429105437"/>
    <n v="0.71214285714285719"/>
    <n v="80"/>
    <n v="1287.9099999999999"/>
  </r>
  <r>
    <d v="2024-10-23T00:00:00"/>
    <x v="1"/>
    <n v="954.84"/>
    <n v="22.06"/>
    <n v="58.41"/>
    <n v="93.57"/>
    <n v="73.75"/>
    <n v="184.99"/>
    <n v="20.32"/>
    <n v="54.79"/>
    <n v="507.88"/>
    <n v="446.96"/>
    <s v="Oct"/>
    <n v="2024"/>
    <n v="0"/>
    <n v="0.46809936743328723"/>
    <n v="0.68485714285714283"/>
    <n v="80"/>
    <n v="1462.7299999999998"/>
  </r>
  <r>
    <d v="2024-10-24T00:00:00"/>
    <x v="1"/>
    <n v="1187.48"/>
    <n v="27.95"/>
    <n v="71.59"/>
    <n v="89.77"/>
    <n v="98.89"/>
    <n v="157.63999999999999"/>
    <n v="25.05"/>
    <n v="35.57"/>
    <n v="506.46"/>
    <n v="681.02"/>
    <s v="Oct"/>
    <n v="2024"/>
    <n v="0"/>
    <n v="0.57350018526627811"/>
    <n v="0.60071428571428576"/>
    <n v="80"/>
    <n v="1693.94"/>
  </r>
  <r>
    <d v="2024-10-25T00:00:00"/>
    <x v="1"/>
    <n v="983.69"/>
    <n v="21.59"/>
    <n v="39.869999999999997"/>
    <n v="114.2"/>
    <n v="121.34"/>
    <n v="165.87"/>
    <n v="2.9"/>
    <n v="30.88"/>
    <n v="496.65"/>
    <n v="487.04"/>
    <s v="Oct"/>
    <n v="2024"/>
    <n v="0"/>
    <n v="0.49511533104941596"/>
    <n v="0.6915714285714285"/>
    <n v="80"/>
    <n v="1480.3400000000001"/>
  </r>
  <r>
    <d v="2024-10-26T00:00:00"/>
    <x v="1"/>
    <n v="1209.4000000000001"/>
    <n v="14.89"/>
    <n v="40.01"/>
    <n v="64.86"/>
    <n v="111.81"/>
    <n v="189.14"/>
    <n v="19.850000000000001"/>
    <n v="34.5"/>
    <n v="475.05"/>
    <n v="734.35"/>
    <s v="Oct"/>
    <n v="2024"/>
    <n v="0"/>
    <n v="0.60720191830659831"/>
    <n v="0.78728571428571426"/>
    <n v="80"/>
    <n v="1684.46"/>
  </r>
  <r>
    <d v="2024-10-27T00:00:00"/>
    <x v="1"/>
    <n v="871.65"/>
    <n v="10.39"/>
    <n v="92.31"/>
    <n v="70.33"/>
    <n v="119.34"/>
    <n v="223.25"/>
    <n v="30.98"/>
    <n v="33.53"/>
    <n v="580.13"/>
    <n v="291.52"/>
    <s v="Oct"/>
    <n v="2024"/>
    <n v="0"/>
    <n v="0.33444616531864851"/>
    <n v="0.85157142857142853"/>
    <n v="80"/>
    <n v="1451.7799999999997"/>
  </r>
  <r>
    <d v="2024-10-28T00:00:00"/>
    <x v="0"/>
    <n v="370.19"/>
    <n v="69.760000000000005"/>
    <n v="26.44"/>
    <n v="61.49"/>
    <n v="80.52"/>
    <n v="185.63"/>
    <n v="16.28"/>
    <n v="32.409999999999997"/>
    <n v="472.54"/>
    <n v="-102.35"/>
    <s v="Oct"/>
    <n v="2024"/>
    <n v="1"/>
    <n v="-0.27647964558740107"/>
    <n v="0.53493333333333326"/>
    <n v="20"/>
    <n v="842.71999999999991"/>
  </r>
  <r>
    <d v="2024-10-29T00:00:00"/>
    <x v="0"/>
    <n v="364.16"/>
    <n v="67.41"/>
    <n v="48.8"/>
    <n v="45.5"/>
    <n v="131.78"/>
    <n v="109.62"/>
    <n v="21.01"/>
    <n v="53.27"/>
    <n v="477.39"/>
    <n v="-113.23"/>
    <s v="Oct"/>
    <n v="2024"/>
    <n v="1"/>
    <n v="-0.31093475395430581"/>
    <n v="0.55059999999999998"/>
    <n v="20"/>
    <n v="841.55000000000007"/>
  </r>
  <r>
    <d v="2024-10-30T00:00:00"/>
    <x v="0"/>
    <n v="299.98"/>
    <n v="63.22"/>
    <n v="47.71"/>
    <n v="58.59"/>
    <n v="118.77"/>
    <n v="164.68"/>
    <n v="25.08"/>
    <n v="43.32"/>
    <n v="521.36"/>
    <n v="-221.37"/>
    <s v="Oct"/>
    <n v="2024"/>
    <n v="1"/>
    <n v="-0.73794919661310754"/>
    <n v="0.57853333333333334"/>
    <n v="20"/>
    <n v="821.35000000000014"/>
  </r>
  <r>
    <d v="2024-10-31T00:00:00"/>
    <x v="1"/>
    <n v="1031.96"/>
    <n v="13.79"/>
    <n v="73.45"/>
    <n v="137"/>
    <n v="92.35"/>
    <n v="135.88999999999999"/>
    <n v="31.96"/>
    <n v="38.19"/>
    <n v="522.64"/>
    <n v="509.33"/>
    <s v="Oct"/>
    <n v="2024"/>
    <n v="0"/>
    <n v="0.49355595178107675"/>
    <n v="0.80300000000000005"/>
    <n v="80"/>
    <n v="1554.5900000000001"/>
  </r>
  <r>
    <d v="2024-11-01T00:00:00"/>
    <x v="0"/>
    <n v="241.37"/>
    <n v="78.47"/>
    <n v="31.97"/>
    <n v="53.19"/>
    <n v="118.3"/>
    <n v="155.71"/>
    <n v="25.68"/>
    <n v="24.77"/>
    <n v="488.1"/>
    <n v="-246.73"/>
    <s v="Nov"/>
    <n v="2024"/>
    <n v="1"/>
    <n v="-1.0222065708248746"/>
    <n v="0.47686666666666666"/>
    <n v="20"/>
    <n v="729.46"/>
  </r>
  <r>
    <d v="2024-11-02T00:00:00"/>
    <x v="1"/>
    <n v="1052.6199999999999"/>
    <n v="13.7"/>
    <n v="74.78"/>
    <n v="98.46"/>
    <n v="76.290000000000006"/>
    <n v="208.01"/>
    <n v="17.18"/>
    <n v="52.12"/>
    <n v="540.54"/>
    <n v="512.08000000000004"/>
    <s v="Nov"/>
    <n v="2024"/>
    <n v="0"/>
    <n v="0.48648135129486431"/>
    <n v="0.80428571428571427"/>
    <n v="80"/>
    <n v="1593.1599999999999"/>
  </r>
  <r>
    <d v="2024-11-03T00:00:00"/>
    <x v="0"/>
    <n v="368.36"/>
    <n v="88.38"/>
    <n v="36.65"/>
    <n v="48.01"/>
    <n v="109.51"/>
    <n v="140.9"/>
    <n v="26.4"/>
    <n v="10.6"/>
    <n v="460.47"/>
    <n v="-92.1"/>
    <s v="Nov"/>
    <n v="2024"/>
    <n v="1"/>
    <n v="-0.25002714735584752"/>
    <n v="0.41080000000000005"/>
    <n v="20"/>
    <n v="828.81"/>
  </r>
  <r>
    <d v="2024-11-04T00:00:00"/>
    <x v="1"/>
    <n v="739.26"/>
    <n v="9.66"/>
    <n v="79.010000000000005"/>
    <n v="131.32"/>
    <n v="92.91"/>
    <n v="164.09"/>
    <n v="22.63"/>
    <n v="57.43"/>
    <n v="557.04999999999995"/>
    <n v="182.22"/>
    <s v="Nov"/>
    <n v="2024"/>
    <n v="0"/>
    <n v="0.24648973297621946"/>
    <n v="0.86199999999999999"/>
    <n v="80"/>
    <n v="1296.3100000000002"/>
  </r>
  <r>
    <d v="2024-11-05T00:00:00"/>
    <x v="1"/>
    <n v="764.53"/>
    <n v="16.190000000000001"/>
    <n v="79.5"/>
    <n v="95.03"/>
    <n v="98.79"/>
    <n v="205.04"/>
    <n v="-2.33"/>
    <n v="50.17"/>
    <n v="542.4"/>
    <n v="222.13"/>
    <s v="Nov"/>
    <n v="2024"/>
    <n v="0"/>
    <n v="0.29054451754672805"/>
    <n v="0.76871428571428568"/>
    <n v="80"/>
    <n v="1306.92"/>
  </r>
  <r>
    <d v="2024-11-06T00:00:00"/>
    <x v="1"/>
    <n v="819.18"/>
    <n v="5.85"/>
    <n v="70.22"/>
    <n v="121.21"/>
    <n v="92.25"/>
    <n v="203.35"/>
    <n v="36.51"/>
    <n v="59.72"/>
    <n v="589.12"/>
    <n v="230.07"/>
    <s v="Nov"/>
    <n v="2024"/>
    <n v="0"/>
    <n v="0.28085402475646382"/>
    <n v="0.91642857142857148"/>
    <n v="80"/>
    <n v="1408.29"/>
  </r>
  <r>
    <d v="2024-11-07T00:00:00"/>
    <x v="1"/>
    <n v="1277.99"/>
    <n v="18.71"/>
    <n v="61.51"/>
    <n v="31.94"/>
    <n v="90.08"/>
    <n v="140.49"/>
    <n v="41.54"/>
    <n v="37.36"/>
    <n v="421.63"/>
    <n v="856.37"/>
    <s v="Nov"/>
    <n v="2024"/>
    <n v="0"/>
    <n v="0.67009131526850763"/>
    <n v="0.73271428571428565"/>
    <n v="80"/>
    <n v="1699.62"/>
  </r>
  <r>
    <d v="2024-11-08T00:00:00"/>
    <x v="0"/>
    <n v="356.16"/>
    <n v="75.510000000000005"/>
    <n v="40.65"/>
    <n v="88.9"/>
    <n v="94.43"/>
    <n v="155.84"/>
    <n v="14.06"/>
    <n v="14.16"/>
    <n v="483.56"/>
    <n v="-127.4"/>
    <s v="Nov"/>
    <n v="2024"/>
    <n v="1"/>
    <n v="-0.35770440251572327"/>
    <n v="0.49659999999999993"/>
    <n v="20"/>
    <n v="839.71"/>
  </r>
  <r>
    <d v="2024-11-09T00:00:00"/>
    <x v="1"/>
    <n v="827.65"/>
    <n v="14.81"/>
    <n v="51.41"/>
    <n v="59.23"/>
    <n v="66.87"/>
    <n v="167.09"/>
    <n v="8.4600000000000009"/>
    <n v="51.4"/>
    <n v="419.28"/>
    <n v="408.37"/>
    <s v="Nov"/>
    <n v="2024"/>
    <n v="0"/>
    <n v="0.49340904971908417"/>
    <n v="0.78842857142857148"/>
    <n v="80"/>
    <n v="1246.92"/>
  </r>
  <r>
    <d v="2024-11-10T00:00:00"/>
    <x v="1"/>
    <n v="966.49"/>
    <n v="7.71"/>
    <n v="53.82"/>
    <n v="57.44"/>
    <n v="101.38"/>
    <n v="216.92"/>
    <n v="5.12"/>
    <n v="41.73"/>
    <n v="484.11"/>
    <n v="482.38"/>
    <s v="Nov"/>
    <n v="2024"/>
    <n v="0"/>
    <n v="0.49910500884644432"/>
    <n v="0.8898571428571429"/>
    <n v="80"/>
    <n v="1450.6100000000001"/>
  </r>
  <r>
    <d v="2024-11-11T00:00:00"/>
    <x v="0"/>
    <n v="341.99"/>
    <n v="76.709999999999994"/>
    <n v="43.2"/>
    <n v="39.96"/>
    <n v="102.02"/>
    <n v="126.12"/>
    <n v="28.61"/>
    <n v="30.26"/>
    <n v="446.88"/>
    <n v="-104.89"/>
    <s v="Nov"/>
    <n v="2024"/>
    <n v="1"/>
    <n v="-0.30670487441153249"/>
    <n v="0.48860000000000003"/>
    <n v="20"/>
    <n v="788.87"/>
  </r>
  <r>
    <d v="2024-11-12T00:00:00"/>
    <x v="1"/>
    <n v="1330.24"/>
    <n v="14.7"/>
    <n v="45.83"/>
    <n v="34.590000000000003"/>
    <n v="58.94"/>
    <n v="114.56"/>
    <n v="24.4"/>
    <n v="47.63"/>
    <n v="340.64"/>
    <n v="989.59"/>
    <s v="Nov"/>
    <n v="2024"/>
    <n v="0"/>
    <n v="0.74391839066634591"/>
    <n v="0.79"/>
    <n v="80"/>
    <n v="1670.89"/>
  </r>
  <r>
    <d v="2024-11-13T00:00:00"/>
    <x v="0"/>
    <n v="270.94"/>
    <n v="78.95"/>
    <n v="32.75"/>
    <n v="57.94"/>
    <n v="150.31"/>
    <n v="176.91"/>
    <n v="17.850000000000001"/>
    <n v="19.309999999999999"/>
    <n v="534.01"/>
    <n v="-263.07"/>
    <s v="Nov"/>
    <n v="2024"/>
    <n v="1"/>
    <n v="-0.97095297851922935"/>
    <n v="0.47366666666666668"/>
    <n v="20"/>
    <n v="804.95999999999992"/>
  </r>
  <r>
    <d v="2024-11-14T00:00:00"/>
    <x v="0"/>
    <n v="242.41"/>
    <n v="62.81"/>
    <n v="36.83"/>
    <n v="35.26"/>
    <n v="106.72"/>
    <n v="152.31"/>
    <n v="18.2"/>
    <n v="22.2"/>
    <n v="434.32"/>
    <n v="-191.91"/>
    <s v="Nov"/>
    <n v="2024"/>
    <n v="1"/>
    <n v="-0.79167526092157914"/>
    <n v="0.5812666666666666"/>
    <n v="20"/>
    <n v="676.74"/>
  </r>
  <r>
    <d v="2024-11-15T00:00:00"/>
    <x v="1"/>
    <n v="983.73"/>
    <n v="17.21"/>
    <n v="38.19"/>
    <n v="122.33"/>
    <n v="93.03"/>
    <n v="170.66"/>
    <n v="28.37"/>
    <n v="43.5"/>
    <n v="513.29"/>
    <n v="470.44"/>
    <s v="Nov"/>
    <n v="2024"/>
    <n v="0"/>
    <n v="0.47822064997509478"/>
    <n v="0.75414285714285711"/>
    <n v="80"/>
    <n v="1497.02"/>
  </r>
  <r>
    <d v="2024-11-16T00:00:00"/>
    <x v="1"/>
    <n v="1140.6300000000001"/>
    <n v="16.440000000000001"/>
    <n v="47.75"/>
    <n v="90.85"/>
    <n v="72.13"/>
    <n v="173.8"/>
    <n v="21.7"/>
    <n v="36.880000000000003"/>
    <n v="459.54"/>
    <n v="681.09"/>
    <s v="Nov"/>
    <n v="2024"/>
    <n v="0"/>
    <n v="0.59711738249914514"/>
    <n v="0.76514285714285712"/>
    <n v="80"/>
    <n v="1600.1800000000003"/>
  </r>
  <r>
    <d v="2024-11-17T00:00:00"/>
    <x v="0"/>
    <n v="343.57"/>
    <n v="51.18"/>
    <n v="31.77"/>
    <n v="56.86"/>
    <n v="114"/>
    <n v="119.17"/>
    <n v="30.13"/>
    <n v="19.61"/>
    <n v="422.71"/>
    <n v="-79.13"/>
    <s v="Nov"/>
    <n v="2024"/>
    <n v="1"/>
    <n v="-0.2303169659749105"/>
    <n v="0.65880000000000005"/>
    <n v="20"/>
    <n v="766.29"/>
  </r>
  <r>
    <d v="2024-11-18T00:00:00"/>
    <x v="1"/>
    <n v="1143.8900000000001"/>
    <n v="17.14"/>
    <n v="47.08"/>
    <n v="133.26"/>
    <n v="71.13"/>
    <n v="202.17"/>
    <n v="31.01"/>
    <n v="29.94"/>
    <n v="531.71"/>
    <n v="612.17999999999995"/>
    <s v="Nov"/>
    <n v="2024"/>
    <n v="0"/>
    <n v="0.53517383664513185"/>
    <n v="0.75514285714285712"/>
    <n v="80"/>
    <n v="1675.6200000000001"/>
  </r>
  <r>
    <d v="2024-11-19T00:00:00"/>
    <x v="1"/>
    <n v="1228.49"/>
    <n v="13.75"/>
    <n v="65.77"/>
    <n v="87.81"/>
    <n v="92.31"/>
    <n v="198.38"/>
    <n v="29.14"/>
    <n v="13.77"/>
    <n v="500.94"/>
    <n v="727.55"/>
    <s v="Nov"/>
    <n v="2024"/>
    <n v="0"/>
    <n v="0.59223111299237274"/>
    <n v="0.8035714285714286"/>
    <n v="80"/>
    <n v="1729.4199999999998"/>
  </r>
  <r>
    <d v="2024-11-20T00:00:00"/>
    <x v="0"/>
    <n v="415.22"/>
    <n v="53.38"/>
    <n v="55.49"/>
    <n v="77.53"/>
    <n v="82.73"/>
    <n v="137.68"/>
    <n v="11.15"/>
    <n v="27.42"/>
    <n v="445.37"/>
    <n v="-30.16"/>
    <s v="Nov"/>
    <n v="2024"/>
    <n v="1"/>
    <n v="-7.2636192861615531E-2"/>
    <n v="0.64413333333333334"/>
    <n v="20"/>
    <n v="860.59999999999991"/>
  </r>
  <r>
    <d v="2024-11-21T00:00:00"/>
    <x v="0"/>
    <n v="334.6"/>
    <n v="77.8"/>
    <n v="59.65"/>
    <n v="82.91"/>
    <n v="95.95"/>
    <n v="143.72"/>
    <n v="6.53"/>
    <n v="20.329999999999998"/>
    <n v="486.9"/>
    <n v="-152.30000000000001"/>
    <s v="Nov"/>
    <n v="2024"/>
    <n v="1"/>
    <n v="-0.45517035265989242"/>
    <n v="0.48133333333333339"/>
    <n v="20"/>
    <n v="821.49000000000012"/>
  </r>
  <r>
    <d v="2024-11-22T00:00:00"/>
    <x v="0"/>
    <n v="398.24"/>
    <n v="86.16"/>
    <n v="21.48"/>
    <n v="43.15"/>
    <n v="109.34"/>
    <n v="158.4"/>
    <n v="13.52"/>
    <n v="35.090000000000003"/>
    <n v="467.15"/>
    <n v="-68.91"/>
    <s v="Nov"/>
    <n v="2024"/>
    <n v="1"/>
    <n v="-0.17303635998392927"/>
    <n v="0.42559999999999998"/>
    <n v="20"/>
    <n v="865.38"/>
  </r>
  <r>
    <d v="2024-11-23T00:00:00"/>
    <x v="1"/>
    <n v="855.23"/>
    <n v="14.93"/>
    <n v="70.930000000000007"/>
    <n v="80.19"/>
    <n v="86.27"/>
    <n v="166.16"/>
    <n v="21.2"/>
    <n v="34.450000000000003"/>
    <n v="474.14"/>
    <n v="381.1"/>
    <s v="Nov"/>
    <n v="2024"/>
    <n v="0"/>
    <n v="0.44561112215427429"/>
    <n v="0.7867142857142857"/>
    <n v="80"/>
    <n v="1329.3600000000001"/>
  </r>
  <r>
    <d v="2024-11-24T00:00:00"/>
    <x v="0"/>
    <n v="337.06"/>
    <n v="85.99"/>
    <n v="48.41"/>
    <n v="49.09"/>
    <n v="127.42"/>
    <n v="139.99"/>
    <n v="29.38"/>
    <n v="34.44"/>
    <n v="514.72"/>
    <n v="-177.66"/>
    <s v="Nov"/>
    <n v="2024"/>
    <n v="1"/>
    <n v="-0.52708716548982371"/>
    <n v="0.42673333333333341"/>
    <n v="20"/>
    <n v="851.78"/>
  </r>
  <r>
    <d v="2024-11-25T00:00:00"/>
    <x v="0"/>
    <n v="344.63"/>
    <n v="74.48"/>
    <n v="16.440000000000001"/>
    <n v="32.46"/>
    <n v="80.150000000000006"/>
    <n v="154.29"/>
    <n v="33.86"/>
    <n v="56.78"/>
    <n v="448.45"/>
    <n v="-103.82"/>
    <s v="Nov"/>
    <n v="2024"/>
    <n v="1"/>
    <n v="-0.3012506166033137"/>
    <n v="0.50346666666666662"/>
    <n v="20"/>
    <n v="793.08999999999992"/>
  </r>
  <r>
    <d v="2024-11-26T00:00:00"/>
    <x v="0"/>
    <n v="381.9"/>
    <n v="75.010000000000005"/>
    <n v="12.98"/>
    <n v="44.15"/>
    <n v="90.31"/>
    <n v="131.37"/>
    <n v="18.649999999999999"/>
    <n v="24.33"/>
    <n v="396.81"/>
    <n v="-14.91"/>
    <s v="Nov"/>
    <n v="2024"/>
    <n v="1"/>
    <n v="-3.9041633935585233E-2"/>
    <n v="0.49993333333333334"/>
    <n v="20"/>
    <n v="778.69999999999993"/>
  </r>
  <r>
    <d v="2024-11-27T00:00:00"/>
    <x v="0"/>
    <n v="251.04"/>
    <n v="77.48"/>
    <n v="23.91"/>
    <n v="59.78"/>
    <n v="161.85"/>
    <n v="122.42"/>
    <n v="-0.24"/>
    <n v="26.57"/>
    <n v="471.77"/>
    <n v="-220.73"/>
    <s v="Nov"/>
    <n v="2024"/>
    <n v="1"/>
    <n v="-0.8792622689611217"/>
    <n v="0.4834666666666666"/>
    <n v="20"/>
    <n v="722.81000000000006"/>
  </r>
  <r>
    <d v="2024-11-28T00:00:00"/>
    <x v="1"/>
    <n v="1170.19"/>
    <n v="24.79"/>
    <n v="35.409999999999997"/>
    <n v="94.9"/>
    <n v="85.69"/>
    <n v="166.29"/>
    <n v="45.8"/>
    <n v="17.46"/>
    <n v="470.34"/>
    <n v="699.85"/>
    <s v="Nov"/>
    <n v="2024"/>
    <n v="0"/>
    <n v="0.59806527145164456"/>
    <n v="0.64585714285714291"/>
    <n v="80"/>
    <n v="1640.5300000000002"/>
  </r>
  <r>
    <d v="2024-11-29T00:00:00"/>
    <x v="1"/>
    <n v="1000.75"/>
    <n v="17.34"/>
    <n v="81.72"/>
    <n v="82.94"/>
    <n v="101.16"/>
    <n v="156.29"/>
    <n v="24.42"/>
    <n v="34.85"/>
    <n v="498.72"/>
    <n v="502.03"/>
    <s v="Nov"/>
    <n v="2024"/>
    <n v="0"/>
    <n v="0.50165375968023984"/>
    <n v="0.75228571428571422"/>
    <n v="80"/>
    <n v="1499.47"/>
  </r>
  <r>
    <d v="2024-11-30T00:00:00"/>
    <x v="0"/>
    <n v="381.08"/>
    <n v="66.3"/>
    <n v="45.66"/>
    <n v="54.41"/>
    <n v="138.15"/>
    <n v="148.46"/>
    <n v="5.82"/>
    <n v="45.14"/>
    <n v="503.94"/>
    <n v="-122.86"/>
    <s v="Nov"/>
    <n v="2024"/>
    <n v="1"/>
    <n v="-0.32239949616878349"/>
    <n v="0.55800000000000005"/>
    <n v="20"/>
    <n v="885.02"/>
  </r>
  <r>
    <d v="2024-12-01T00:00:00"/>
    <x v="1"/>
    <n v="768.85"/>
    <n v="11.73"/>
    <n v="48.09"/>
    <n v="121.23"/>
    <n v="52.29"/>
    <n v="279.82"/>
    <n v="31.5"/>
    <n v="43.35"/>
    <n v="588.01"/>
    <n v="180.84"/>
    <s v="Dec"/>
    <n v="2024"/>
    <n v="0"/>
    <n v="0.23520842817194512"/>
    <n v="0.83242857142857141"/>
    <n v="80"/>
    <n v="1356.86"/>
  </r>
  <r>
    <d v="2024-12-02T00:00:00"/>
    <x v="1"/>
    <n v="939.02"/>
    <n v="16.43"/>
    <n v="70.42"/>
    <n v="99.36"/>
    <n v="106.11"/>
    <n v="173.14"/>
    <n v="20.22"/>
    <n v="37.729999999999997"/>
    <n v="523.41"/>
    <n v="415.61"/>
    <s v="Dec"/>
    <n v="2024"/>
    <n v="0"/>
    <n v="0.44259973163510896"/>
    <n v="0.76528571428571435"/>
    <n v="80"/>
    <n v="1462.4299999999996"/>
  </r>
  <r>
    <d v="2024-12-03T00:00:00"/>
    <x v="1"/>
    <n v="911.02"/>
    <n v="20.67"/>
    <n v="71.87"/>
    <n v="-8.2100000000000009"/>
    <n v="108.12"/>
    <n v="176.82"/>
    <n v="21.83"/>
    <n v="34.17"/>
    <n v="425.27"/>
    <n v="485.75"/>
    <s v="Dec"/>
    <n v="2024"/>
    <n v="0"/>
    <n v="0.53319356325876488"/>
    <n v="0.70471428571428563"/>
    <n v="80"/>
    <n v="1336.2899999999997"/>
  </r>
  <r>
    <d v="2024-12-04T00:00:00"/>
    <x v="0"/>
    <n v="406.21"/>
    <n v="79.48"/>
    <n v="28.41"/>
    <n v="63.14"/>
    <n v="85.71"/>
    <n v="108.61"/>
    <n v="14.99"/>
    <n v="40.35"/>
    <n v="420.68"/>
    <n v="-14.47"/>
    <s v="Dec"/>
    <n v="2024"/>
    <n v="1"/>
    <n v="-3.5621968932325651E-2"/>
    <n v="0.47013333333333329"/>
    <n v="20"/>
    <n v="826.90000000000009"/>
  </r>
  <r>
    <d v="2024-12-05T00:00:00"/>
    <x v="1"/>
    <n v="1140.6300000000001"/>
    <n v="17.57"/>
    <n v="74.5"/>
    <n v="95.49"/>
    <n v="82.17"/>
    <n v="185.12"/>
    <n v="29.2"/>
    <n v="51.31"/>
    <n v="535.36"/>
    <n v="605.27"/>
    <s v="Dec"/>
    <n v="2024"/>
    <n v="0"/>
    <n v="0.53064534511629535"/>
    <n v="0.749"/>
    <n v="80"/>
    <n v="1675.99"/>
  </r>
  <r>
    <d v="2024-12-06T00:00:00"/>
    <x v="0"/>
    <n v="409.45"/>
    <n v="77.08"/>
    <n v="45.27"/>
    <n v="76.400000000000006"/>
    <n v="109.34"/>
    <n v="123.54"/>
    <n v="18.7"/>
    <n v="21.06"/>
    <n v="471.4"/>
    <n v="-61.95"/>
    <s v="Dec"/>
    <n v="2024"/>
    <n v="1"/>
    <n v="-0.15130052509463915"/>
    <n v="0.48613333333333331"/>
    <n v="20"/>
    <n v="880.83999999999992"/>
  </r>
  <r>
    <d v="2024-12-07T00:00:00"/>
    <x v="1"/>
    <n v="814.96"/>
    <n v="14.28"/>
    <n v="44.15"/>
    <n v="70.760000000000005"/>
    <n v="57.13"/>
    <n v="177.47"/>
    <n v="22.01"/>
    <n v="27.74"/>
    <n v="413.54"/>
    <n v="401.43"/>
    <s v="Dec"/>
    <n v="2024"/>
    <n v="0"/>
    <n v="0.49257632276430746"/>
    <n v="0.79600000000000004"/>
    <n v="80"/>
    <n v="1228.5"/>
  </r>
  <r>
    <d v="2024-12-08T00:00:00"/>
    <x v="0"/>
    <n v="382.96"/>
    <n v="79.38"/>
    <n v="15.89"/>
    <n v="39.75"/>
    <n v="90.77"/>
    <n v="121.8"/>
    <n v="26.64"/>
    <n v="27.67"/>
    <n v="401.89"/>
    <n v="-18.93"/>
    <s v="Dec"/>
    <n v="2024"/>
    <n v="1"/>
    <n v="-4.9430749947775229E-2"/>
    <n v="0.4708"/>
    <n v="20"/>
    <n v="784.8599999999999"/>
  </r>
  <r>
    <d v="2024-12-09T00:00:00"/>
    <x v="1"/>
    <n v="897.1"/>
    <n v="4.9800000000000004"/>
    <n v="72.709999999999994"/>
    <n v="42.82"/>
    <n v="96.2"/>
    <n v="179.71"/>
    <n v="34.25"/>
    <n v="20.37"/>
    <n v="451.03"/>
    <n v="446.07"/>
    <s v="Dec"/>
    <n v="2024"/>
    <n v="0"/>
    <n v="0.49723553672946158"/>
    <n v="0.92885714285714283"/>
    <n v="80"/>
    <n v="1348.14"/>
  </r>
  <r>
    <d v="2024-12-10T00:00:00"/>
    <x v="0"/>
    <n v="199.02"/>
    <n v="71.84"/>
    <n v="67.010000000000005"/>
    <n v="79.78"/>
    <n v="115.24"/>
    <n v="135.25"/>
    <n v="26.46"/>
    <n v="18.32"/>
    <n v="513.89"/>
    <n v="-314.87"/>
    <s v="Dec"/>
    <n v="2024"/>
    <n v="1"/>
    <n v="-1.5821023012762536"/>
    <n v="0.52106666666666657"/>
    <n v="20"/>
    <n v="712.92000000000007"/>
  </r>
  <r>
    <d v="2024-12-11T00:00:00"/>
    <x v="1"/>
    <n v="1045.27"/>
    <n v="17.53"/>
    <n v="81.2"/>
    <n v="162.79"/>
    <n v="102.85"/>
    <n v="152.19"/>
    <n v="21.77"/>
    <n v="13.46"/>
    <n v="551.79"/>
    <n v="493.48"/>
    <s v="Dec"/>
    <n v="2024"/>
    <n v="0"/>
    <n v="0.47210768509571693"/>
    <n v="0.74957142857142856"/>
    <n v="80"/>
    <n v="1597.06"/>
  </r>
  <r>
    <d v="2024-12-12T00:00:00"/>
    <x v="0"/>
    <n v="315.26"/>
    <n v="65.91"/>
    <n v="32.14"/>
    <n v="58.05"/>
    <n v="89.44"/>
    <n v="183.63"/>
    <n v="20"/>
    <n v="29.89"/>
    <n v="479.05"/>
    <n v="-163.79"/>
    <s v="Dec"/>
    <n v="2024"/>
    <n v="1"/>
    <n v="-0.51953942777390094"/>
    <n v="0.56059999999999999"/>
    <n v="20"/>
    <n v="794.31999999999994"/>
  </r>
  <r>
    <d v="2024-12-13T00:00:00"/>
    <x v="0"/>
    <n v="333.61"/>
    <n v="71.55"/>
    <n v="52.38"/>
    <n v="37.659999999999997"/>
    <n v="93.55"/>
    <n v="140.88999999999999"/>
    <n v="9.23"/>
    <n v="20.170000000000002"/>
    <n v="425.42"/>
    <n v="-91.82"/>
    <s v="Dec"/>
    <n v="2024"/>
    <n v="1"/>
    <n v="-0.27523155780702013"/>
    <n v="0.52300000000000002"/>
    <n v="20"/>
    <n v="759.04"/>
  </r>
  <r>
    <d v="2024-12-14T00:00:00"/>
    <x v="1"/>
    <n v="854.76"/>
    <n v="19.37"/>
    <n v="65.25"/>
    <n v="85.81"/>
    <n v="112.02"/>
    <n v="165.19"/>
    <n v="25.51"/>
    <n v="38.450000000000003"/>
    <n v="511.61"/>
    <n v="343.15"/>
    <s v="Dec"/>
    <n v="2024"/>
    <n v="0"/>
    <n v="0.40145771912583644"/>
    <n v="0.72328571428571431"/>
    <n v="80"/>
    <n v="1366.3600000000001"/>
  </r>
  <r>
    <d v="2024-12-15T00:00:00"/>
    <x v="0"/>
    <n v="363.27"/>
    <n v="64.17"/>
    <n v="3.42"/>
    <n v="52.31"/>
    <n v="145.57"/>
    <n v="177.79"/>
    <n v="27.72"/>
    <n v="44.83"/>
    <n v="515.82000000000005"/>
    <n v="-152.55000000000001"/>
    <s v="Dec"/>
    <n v="2024"/>
    <n v="1"/>
    <n v="-0.41993558510199031"/>
    <n v="0.57220000000000004"/>
    <n v="20"/>
    <n v="879.08"/>
  </r>
  <r>
    <d v="2024-12-16T00:00:00"/>
    <x v="0"/>
    <n v="354.43"/>
    <n v="71.97"/>
    <n v="30.74"/>
    <n v="48.68"/>
    <n v="125.39"/>
    <n v="186.12"/>
    <n v="18.88"/>
    <n v="24.6"/>
    <n v="506.38"/>
    <n v="-151.94999999999999"/>
    <s v="Dec"/>
    <n v="2024"/>
    <n v="1"/>
    <n v="-0.42871653076771149"/>
    <n v="0.5202"/>
    <n v="20"/>
    <n v="860.81000000000006"/>
  </r>
  <r>
    <d v="2024-12-17T00:00:00"/>
    <x v="0"/>
    <n v="350.03"/>
    <n v="76.010000000000005"/>
    <n v="18.34"/>
    <n v="9.08"/>
    <n v="96.24"/>
    <n v="113.38"/>
    <n v="15.93"/>
    <n v="28.23"/>
    <n v="357.21"/>
    <n v="-7.18"/>
    <s v="Dec"/>
    <n v="2024"/>
    <n v="1"/>
    <n v="-2.0512527497643061E-2"/>
    <n v="0.49326666666666663"/>
    <n v="20"/>
    <n v="707.2399999999999"/>
  </r>
  <r>
    <d v="2024-12-18T00:00:00"/>
    <x v="1"/>
    <n v="859.35"/>
    <n v="22.26"/>
    <n v="66.53"/>
    <n v="89.01"/>
    <n v="107.44"/>
    <n v="130.13999999999999"/>
    <n v="31.35"/>
    <n v="38.86"/>
    <n v="485.61"/>
    <n v="373.74"/>
    <s v="Dec"/>
    <n v="2024"/>
    <n v="0"/>
    <n v="0.43491010647582473"/>
    <n v="0.68199999999999994"/>
    <n v="80"/>
    <n v="1344.9399999999998"/>
  </r>
  <r>
    <d v="2024-12-19T00:00:00"/>
    <x v="1"/>
    <n v="1084.0999999999999"/>
    <n v="9.64"/>
    <n v="28.92"/>
    <n v="104.54"/>
    <n v="102.53"/>
    <n v="138.43"/>
    <n v="14.17"/>
    <n v="56.88"/>
    <n v="455.11"/>
    <n v="628.98"/>
    <s v="Dec"/>
    <n v="2024"/>
    <n v="0"/>
    <n v="0.58018632967438433"/>
    <n v="0.86228571428571432"/>
    <n v="80"/>
    <n v="1539.2100000000003"/>
  </r>
  <r>
    <d v="2024-12-20T00:00:00"/>
    <x v="1"/>
    <n v="712.12"/>
    <n v="23.21"/>
    <n v="41.99"/>
    <n v="99.15"/>
    <n v="88.43"/>
    <n v="191.11"/>
    <n v="17.100000000000001"/>
    <n v="37.56"/>
    <n v="498.55"/>
    <n v="213.56"/>
    <s v="Dec"/>
    <n v="2024"/>
    <n v="0"/>
    <n v="0.29989327641408753"/>
    <n v="0.66842857142857137"/>
    <n v="80"/>
    <n v="1210.67"/>
  </r>
  <r>
    <d v="2024-12-21T00:00:00"/>
    <x v="0"/>
    <n v="352.05"/>
    <n v="59.98"/>
    <n v="51.11"/>
    <n v="44.74"/>
    <n v="104.29"/>
    <n v="120.17"/>
    <n v="-0.5"/>
    <n v="27.71"/>
    <n v="407.49"/>
    <n v="-55.44"/>
    <s v="Dec"/>
    <n v="2024"/>
    <n v="1"/>
    <n v="-0.15747763101832124"/>
    <n v="0.60013333333333341"/>
    <n v="20"/>
    <n v="759.55000000000007"/>
  </r>
  <r>
    <d v="2024-12-22T00:00:00"/>
    <x v="1"/>
    <n v="1432.52"/>
    <n v="18.920000000000002"/>
    <n v="59.61"/>
    <n v="72.11"/>
    <n v="95.45"/>
    <n v="189.15"/>
    <n v="11.37"/>
    <n v="56.71"/>
    <n v="503.34"/>
    <n v="929.19"/>
    <s v="Dec"/>
    <n v="2024"/>
    <n v="0"/>
    <n v="0.64864015860162516"/>
    <n v="0.72971428571428576"/>
    <n v="80"/>
    <n v="1935.84"/>
  </r>
  <r>
    <d v="2024-12-23T00:00:00"/>
    <x v="1"/>
    <n v="1093.08"/>
    <n v="18.59"/>
    <n v="68.77"/>
    <n v="80.59"/>
    <n v="108.46"/>
    <n v="190.71"/>
    <n v="18.809999999999999"/>
    <n v="31.4"/>
    <n v="517.33000000000004"/>
    <n v="575.75"/>
    <s v="Dec"/>
    <n v="2024"/>
    <n v="0"/>
    <n v="0.52672265524938711"/>
    <n v="0.73442857142857143"/>
    <n v="80"/>
    <n v="1610.4099999999999"/>
  </r>
  <r>
    <d v="2024-12-24T00:00:00"/>
    <x v="0"/>
    <n v="355.09"/>
    <n v="85.49"/>
    <n v="21.41"/>
    <n v="25.65"/>
    <n v="114.12"/>
    <n v="151.53"/>
    <n v="21.39"/>
    <n v="32.93"/>
    <n v="452.51"/>
    <n v="-97.42"/>
    <s v="Dec"/>
    <n v="2024"/>
    <n v="1"/>
    <n v="-0.27435298093441102"/>
    <n v="0.43006666666666671"/>
    <n v="20"/>
    <n v="807.6099999999999"/>
  </r>
  <r>
    <d v="2024-12-25T00:00:00"/>
    <x v="0"/>
    <n v="338.84"/>
    <n v="84.9"/>
    <n v="15.99"/>
    <n v="38.43"/>
    <n v="107.42"/>
    <n v="100.7"/>
    <n v="18.59"/>
    <n v="49.94"/>
    <n v="415.97"/>
    <n v="-77.13"/>
    <s v="Dec"/>
    <n v="2024"/>
    <n v="1"/>
    <n v="-0.2276295596741825"/>
    <n v="0.43399999999999994"/>
    <n v="20"/>
    <n v="754.81000000000017"/>
  </r>
  <r>
    <d v="2024-12-26T00:00:00"/>
    <x v="1"/>
    <n v="954.18"/>
    <n v="16.149999999999999"/>
    <n v="34.799999999999997"/>
    <n v="61.51"/>
    <n v="87.5"/>
    <n v="158.88"/>
    <n v="33.53"/>
    <n v="48.37"/>
    <n v="440.74"/>
    <n v="513.44000000000005"/>
    <s v="Dec"/>
    <n v="2024"/>
    <n v="0"/>
    <n v="0.5380955375296067"/>
    <n v="0.76928571428571435"/>
    <n v="80"/>
    <n v="1394.9199999999998"/>
  </r>
  <r>
    <d v="2024-12-27T00:00:00"/>
    <x v="1"/>
    <n v="727.71"/>
    <n v="16.23"/>
    <n v="69.959999999999994"/>
    <n v="114.2"/>
    <n v="126.61"/>
    <n v="134.47"/>
    <n v="14.7"/>
    <n v="21.14"/>
    <n v="497.32"/>
    <n v="230.39"/>
    <s v="Dec"/>
    <n v="2024"/>
    <n v="0"/>
    <n v="0.31659589671709881"/>
    <n v="0.76814285714285713"/>
    <n v="80"/>
    <n v="1225.0200000000002"/>
  </r>
  <r>
    <d v="2024-12-28T00:00:00"/>
    <x v="0"/>
    <n v="338.3"/>
    <n v="74.66"/>
    <n v="54.81"/>
    <n v="53.48"/>
    <n v="102"/>
    <n v="154.55000000000001"/>
    <n v="13.32"/>
    <n v="55.07"/>
    <n v="507.9"/>
    <n v="-169.61"/>
    <s v="Dec"/>
    <n v="2024"/>
    <n v="1"/>
    <n v="-0.50135973987584981"/>
    <n v="0.50226666666666664"/>
    <n v="20"/>
    <n v="846.19"/>
  </r>
  <r>
    <d v="2024-12-29T00:00:00"/>
    <x v="1"/>
    <n v="628.47"/>
    <n v="15.92"/>
    <n v="100.47"/>
    <n v="80.2"/>
    <n v="91.2"/>
    <n v="157.49"/>
    <n v="20.38"/>
    <n v="60.59"/>
    <n v="526.26"/>
    <n v="102.21"/>
    <s v="Dec"/>
    <n v="2024"/>
    <n v="0"/>
    <n v="0.16263306124397345"/>
    <n v="0.77257142857142858"/>
    <n v="60"/>
    <n v="1154.72"/>
  </r>
  <r>
    <d v="2024-12-30T00:00:00"/>
    <x v="1"/>
    <n v="507.63"/>
    <n v="22.67"/>
    <n v="31.52"/>
    <n v="72"/>
    <n v="86.42"/>
    <n v="190.6"/>
    <n v="7.62"/>
    <n v="46.93"/>
    <n v="457.75"/>
    <n v="49.88"/>
    <s v="Dec"/>
    <n v="2024"/>
    <n v="0"/>
    <n v="9.8260544097078587E-2"/>
    <n v="0.67614285714285716"/>
    <n v="40"/>
    <n v="965.38999999999987"/>
  </r>
  <r>
    <d v="2024-12-31T00:00:00"/>
    <x v="0"/>
    <n v="451.22"/>
    <n v="56.37"/>
    <n v="42.85"/>
    <n v="41.76"/>
    <n v="120.65"/>
    <n v="150.57"/>
    <n v="14.87"/>
    <n v="35.85"/>
    <n v="462.92"/>
    <n v="-11.7"/>
    <s v="Dec"/>
    <n v="2024"/>
    <n v="1"/>
    <n v="-2.5929701697619784E-2"/>
    <n v="0.62420000000000009"/>
    <n v="20"/>
    <n v="914.1400000000001"/>
  </r>
  <r>
    <d v="2025-01-01T00:00:00"/>
    <x v="1"/>
    <n v="1310.87"/>
    <n v="14.05"/>
    <n v="74.400000000000006"/>
    <n v="41.2"/>
    <n v="75.87"/>
    <n v="186.53"/>
    <n v="35.36"/>
    <n v="45.33"/>
    <n v="472.74"/>
    <n v="838.13"/>
    <s v="Jan"/>
    <n v="2025"/>
    <n v="0"/>
    <n v="0.63936927384103692"/>
    <n v="0.79928571428571427"/>
    <n v="80"/>
    <n v="1783.6099999999997"/>
  </r>
  <r>
    <d v="2025-01-02T00:00:00"/>
    <x v="0"/>
    <n v="334.35"/>
    <n v="69.989999999999995"/>
    <n v="21.24"/>
    <n v="67.09"/>
    <n v="132.06"/>
    <n v="136.44"/>
    <n v="16.239999999999998"/>
    <n v="33.19"/>
    <n v="476.25"/>
    <n v="-141.91"/>
    <s v="Jan"/>
    <n v="2025"/>
    <n v="1"/>
    <n v="-0.42443547181097646"/>
    <n v="0.5334000000000001"/>
    <n v="20"/>
    <n v="810.60000000000014"/>
  </r>
  <r>
    <d v="2025-01-03T00:00:00"/>
    <x v="1"/>
    <n v="862.66"/>
    <n v="14.67"/>
    <n v="101.99"/>
    <n v="72.59"/>
    <n v="87.83"/>
    <n v="147.34"/>
    <n v="28.7"/>
    <n v="37.28"/>
    <n v="490.4"/>
    <n v="372.25"/>
    <s v="Jan"/>
    <n v="2025"/>
    <n v="0"/>
    <n v="0.43151415389608888"/>
    <n v="0.79042857142857148"/>
    <n v="80"/>
    <n v="1353.0599999999997"/>
  </r>
  <r>
    <d v="2025-01-04T00:00:00"/>
    <x v="0"/>
    <n v="317.52999999999997"/>
    <n v="83.21"/>
    <n v="61.29"/>
    <n v="42.99"/>
    <n v="63.34"/>
    <n v="180.23"/>
    <n v="14.52"/>
    <n v="39.49"/>
    <n v="485.07"/>
    <n v="-167.54"/>
    <s v="Jan"/>
    <n v="2025"/>
    <n v="1"/>
    <n v="-0.52763518407709509"/>
    <n v="0.4452666666666667"/>
    <n v="20"/>
    <n v="802.6"/>
  </r>
  <r>
    <d v="2025-01-05T00:00:00"/>
    <x v="1"/>
    <n v="555.98"/>
    <n v="19.46"/>
    <n v="35.78"/>
    <n v="101.92"/>
    <n v="95.29"/>
    <n v="136.61000000000001"/>
    <n v="18.34"/>
    <n v="50.29"/>
    <n v="457.69"/>
    <n v="98.29"/>
    <s v="Jan"/>
    <n v="2025"/>
    <n v="0"/>
    <n v="0.17678693478182669"/>
    <n v="0.72199999999999998"/>
    <n v="60"/>
    <n v="1013.67"/>
  </r>
  <r>
    <d v="2025-01-06T00:00:00"/>
    <x v="0"/>
    <n v="355.29"/>
    <n v="75.84"/>
    <n v="69.650000000000006"/>
    <n v="23.72"/>
    <n v="150.43"/>
    <n v="153.13"/>
    <n v="12.81"/>
    <n v="14.04"/>
    <n v="499.61"/>
    <n v="-144.32"/>
    <s v="Jan"/>
    <n v="2025"/>
    <n v="1"/>
    <n v="-0.40620338315179144"/>
    <n v="0.49439999999999995"/>
    <n v="20"/>
    <n v="854.91"/>
  </r>
  <r>
    <d v="2025-01-07T00:00:00"/>
    <x v="1"/>
    <n v="912.18"/>
    <n v="19.61"/>
    <n v="57.45"/>
    <n v="125.33"/>
    <n v="65.98"/>
    <n v="169.58"/>
    <n v="10.73"/>
    <n v="45.45"/>
    <n v="494.13"/>
    <n v="418.05"/>
    <s v="Jan"/>
    <n v="2025"/>
    <n v="0"/>
    <n v="0.45829770440044731"/>
    <n v="0.71985714285714286"/>
    <n v="80"/>
    <n v="1406.31"/>
  </r>
  <r>
    <d v="2025-01-08T00:00:00"/>
    <x v="0"/>
    <n v="394.34"/>
    <n v="65.790000000000006"/>
    <n v="0.94"/>
    <n v="58.98"/>
    <n v="120.92"/>
    <n v="162.13"/>
    <n v="29.89"/>
    <n v="17.149999999999999"/>
    <n v="455.79"/>
    <n v="-61.44"/>
    <s v="Jan"/>
    <n v="2025"/>
    <n v="1"/>
    <n v="-0.15580463559365015"/>
    <n v="0.5613999999999999"/>
    <n v="20"/>
    <n v="850.13999999999987"/>
  </r>
  <r>
    <d v="2025-01-09T00:00:00"/>
    <x v="1"/>
    <n v="1086.04"/>
    <n v="20.96"/>
    <n v="24.43"/>
    <n v="89.59"/>
    <n v="84.92"/>
    <n v="167.15"/>
    <n v="25.13"/>
    <n v="32.69"/>
    <n v="444.86"/>
    <n v="641.17999999999995"/>
    <s v="Jan"/>
    <n v="2025"/>
    <n v="0"/>
    <n v="0.59038341129240168"/>
    <n v="0.70057142857142862"/>
    <n v="80"/>
    <n v="1530.9100000000003"/>
  </r>
  <r>
    <d v="2025-01-10T00:00:00"/>
    <x v="1"/>
    <n v="814.86"/>
    <n v="15.17"/>
    <n v="38.26"/>
    <n v="47.43"/>
    <n v="108.59"/>
    <n v="129.79"/>
    <n v="28"/>
    <n v="46.94"/>
    <n v="414.17"/>
    <n v="400.69"/>
    <s v="Jan"/>
    <n v="2025"/>
    <n v="0"/>
    <n v="0.49172864050266302"/>
    <n v="0.78328571428571425"/>
    <n v="80"/>
    <n v="1229.04"/>
  </r>
  <r>
    <d v="2025-01-11T00:00:00"/>
    <x v="0"/>
    <n v="263.70999999999998"/>
    <n v="63.22"/>
    <n v="57.91"/>
    <n v="35.380000000000003"/>
    <n v="98.39"/>
    <n v="163.86"/>
    <n v="26.27"/>
    <n v="26.98"/>
    <n v="472.01"/>
    <n v="-208.3"/>
    <s v="Jan"/>
    <n v="2025"/>
    <n v="1"/>
    <n v="-0.78988282583140579"/>
    <n v="0.57853333333333334"/>
    <n v="20"/>
    <n v="735.71999999999991"/>
  </r>
  <r>
    <d v="2025-01-12T00:00:00"/>
    <x v="0"/>
    <n v="320.12"/>
    <n v="84.22"/>
    <n v="66.08"/>
    <n v="74.58"/>
    <n v="112.13"/>
    <n v="125.75"/>
    <n v="13.36"/>
    <n v="36.270000000000003"/>
    <n v="512.4"/>
    <n v="-192.27"/>
    <s v="Jan"/>
    <n v="2025"/>
    <n v="1"/>
    <n v="-0.60061851805572908"/>
    <n v="0.43853333333333333"/>
    <n v="20"/>
    <n v="832.51"/>
  </r>
  <r>
    <d v="2025-01-13T00:00:00"/>
    <x v="0"/>
    <n v="370.92"/>
    <n v="84.02"/>
    <n v="49.76"/>
    <n v="24.94"/>
    <n v="136.30000000000001"/>
    <n v="120.06"/>
    <n v="16.93"/>
    <n v="33"/>
    <n v="465"/>
    <n v="-94.08"/>
    <s v="Jan"/>
    <n v="2025"/>
    <n v="1"/>
    <n v="-0.25363959883532838"/>
    <n v="0.43986666666666674"/>
    <n v="20"/>
    <n v="835.93"/>
  </r>
  <r>
    <d v="2025-01-14T00:00:00"/>
    <x v="0"/>
    <n v="449.78"/>
    <n v="101.1"/>
    <n v="49.1"/>
    <n v="51.34"/>
    <n v="123.36"/>
    <n v="176.63"/>
    <n v="17.43"/>
    <n v="51.54"/>
    <n v="570.51"/>
    <n v="-120.72"/>
    <s v="Jan"/>
    <n v="2025"/>
    <n v="1"/>
    <n v="-0.26839788340966697"/>
    <n v="0.32600000000000007"/>
    <n v="20"/>
    <n v="1020.28"/>
  </r>
  <r>
    <d v="2025-01-15T00:00:00"/>
    <x v="1"/>
    <n v="996.01"/>
    <n v="17.489999999999998"/>
    <n v="73.319999999999993"/>
    <n v="92.65"/>
    <n v="111.78"/>
    <n v="148.4"/>
    <n v="16.98"/>
    <n v="23.5"/>
    <n v="484.1"/>
    <n v="511.91"/>
    <s v="Jan"/>
    <n v="2025"/>
    <n v="0"/>
    <n v="0.51396070320579113"/>
    <n v="0.75014285714285722"/>
    <n v="80"/>
    <n v="1480.13"/>
  </r>
  <r>
    <d v="2025-01-16T00:00:00"/>
    <x v="0"/>
    <n v="371.98"/>
    <n v="77.790000000000006"/>
    <n v="46.87"/>
    <n v="88.49"/>
    <n v="109.86"/>
    <n v="170.06"/>
    <n v="11.27"/>
    <n v="25.35"/>
    <n v="529.69000000000005"/>
    <n v="-157.71"/>
    <s v="Jan"/>
    <n v="2025"/>
    <n v="1"/>
    <n v="-0.42397440722619495"/>
    <n v="0.48139999999999994"/>
    <n v="20"/>
    <n v="901.67"/>
  </r>
  <r>
    <d v="2025-01-17T00:00:00"/>
    <x v="1"/>
    <n v="1089.1099999999999"/>
    <n v="19.25"/>
    <n v="54.12"/>
    <n v="77.849999999999994"/>
    <n v="64.64"/>
    <n v="157.5"/>
    <n v="30.01"/>
    <n v="48.63"/>
    <n v="452.01"/>
    <n v="637.1"/>
    <s v="Jan"/>
    <n v="2025"/>
    <n v="0"/>
    <n v="0.58497305139058509"/>
    <n v="0.72499999999999998"/>
    <n v="80"/>
    <n v="1541.11"/>
  </r>
  <r>
    <d v="2025-01-18T00:00:00"/>
    <x v="1"/>
    <n v="1050.1300000000001"/>
    <n v="15.25"/>
    <n v="60.14"/>
    <n v="60.19"/>
    <n v="108.98"/>
    <n v="184.73"/>
    <n v="26.43"/>
    <n v="32.11"/>
    <n v="487.83"/>
    <n v="562.29999999999995"/>
    <s v="Jan"/>
    <n v="2025"/>
    <n v="0"/>
    <n v="0.53545751478388381"/>
    <n v="0.78214285714285714"/>
    <n v="80"/>
    <n v="1537.9600000000003"/>
  </r>
  <r>
    <d v="2025-01-19T00:00:00"/>
    <x v="0"/>
    <n v="242.33"/>
    <n v="80.97"/>
    <n v="32.82"/>
    <n v="37.74"/>
    <n v="127.34"/>
    <n v="138.24"/>
    <n v="28.48"/>
    <n v="37.4"/>
    <n v="482.99"/>
    <n v="-240.66"/>
    <s v="Jan"/>
    <n v="2025"/>
    <n v="1"/>
    <n v="-0.99310857095695948"/>
    <n v="0.46020000000000005"/>
    <n v="20"/>
    <n v="725.32"/>
  </r>
  <r>
    <d v="2025-01-20T00:00:00"/>
    <x v="1"/>
    <n v="1086.71"/>
    <n v="8.17"/>
    <n v="84.24"/>
    <n v="87.84"/>
    <n v="87.61"/>
    <n v="175.02"/>
    <n v="6.01"/>
    <n v="46.13"/>
    <n v="495.02"/>
    <n v="591.69000000000005"/>
    <s v="Jan"/>
    <n v="2025"/>
    <n v="0"/>
    <n v="0.54447828767564488"/>
    <n v="0.88328571428571423"/>
    <n v="80"/>
    <n v="1581.73"/>
  </r>
  <r>
    <d v="2025-01-21T00:00:00"/>
    <x v="1"/>
    <n v="744.13"/>
    <n v="8.24"/>
    <n v="29.55"/>
    <n v="113.38"/>
    <n v="82.41"/>
    <n v="223.68"/>
    <n v="17.18"/>
    <n v="14.39"/>
    <n v="488.83"/>
    <n v="255.29"/>
    <s v="Jan"/>
    <n v="2025"/>
    <n v="0"/>
    <n v="0.34307177509306169"/>
    <n v="0.88228571428571434"/>
    <n v="80"/>
    <n v="1232.96"/>
  </r>
  <r>
    <d v="2025-01-22T00:00:00"/>
    <x v="0"/>
    <n v="294.17"/>
    <n v="82.36"/>
    <n v="37.659999999999997"/>
    <n v="44.03"/>
    <n v="114"/>
    <n v="165.05"/>
    <n v="28.94"/>
    <n v="47.38"/>
    <n v="519.42999999999995"/>
    <n v="-225.26"/>
    <s v="Jan"/>
    <n v="2025"/>
    <n v="1"/>
    <n v="-0.76574769690994993"/>
    <n v="0.4509333333333333"/>
    <n v="20"/>
    <n v="813.59"/>
  </r>
  <r>
    <d v="2025-01-23T00:00:00"/>
    <x v="1"/>
    <n v="878.05"/>
    <n v="8.3699999999999992"/>
    <n v="51.73"/>
    <n v="87.81"/>
    <n v="75.72"/>
    <n v="136.5"/>
    <n v="25.09"/>
    <n v="39.270000000000003"/>
    <n v="424.5"/>
    <n v="453.55"/>
    <s v="Jan"/>
    <n v="2025"/>
    <n v="0"/>
    <n v="0.51654233813564154"/>
    <n v="0.88042857142857145"/>
    <n v="80"/>
    <n v="1302.54"/>
  </r>
  <r>
    <d v="2025-01-24T00:00:00"/>
    <x v="0"/>
    <n v="351.64"/>
    <n v="62.42"/>
    <n v="36.54"/>
    <n v="36.520000000000003"/>
    <n v="132.25"/>
    <n v="181.06"/>
    <n v="5.23"/>
    <n v="18.850000000000001"/>
    <n v="472.86"/>
    <n v="-121.22"/>
    <s v="Jan"/>
    <n v="2025"/>
    <n v="1"/>
    <n v="-0.34472756227960416"/>
    <n v="0.58386666666666664"/>
    <n v="20"/>
    <n v="824.5100000000001"/>
  </r>
  <r>
    <d v="2025-01-25T00:00:00"/>
    <x v="0"/>
    <n v="275.17"/>
    <n v="63.5"/>
    <n v="38.75"/>
    <n v="26.01"/>
    <n v="86.95"/>
    <n v="119.88"/>
    <n v="21.66"/>
    <n v="30.83"/>
    <n v="387.58"/>
    <n v="-112.41"/>
    <s v="Jan"/>
    <n v="2025"/>
    <n v="1"/>
    <n v="-0.40851110222771375"/>
    <n v="0.57666666666666666"/>
    <n v="20"/>
    <n v="662.75"/>
  </r>
  <r>
    <d v="2025-01-26T00:00:00"/>
    <x v="1"/>
    <n v="805.65"/>
    <n v="15.88"/>
    <n v="49.07"/>
    <n v="71.849999999999994"/>
    <n v="128.47"/>
    <n v="216.92"/>
    <n v="10.3"/>
    <n v="52.45"/>
    <n v="544.94000000000005"/>
    <n v="260.72000000000003"/>
    <s v="Jan"/>
    <n v="2025"/>
    <n v="0"/>
    <n v="0.32361447278594929"/>
    <n v="0.77314285714285713"/>
    <n v="80"/>
    <n v="1350.5900000000001"/>
  </r>
  <r>
    <d v="2025-01-27T00:00:00"/>
    <x v="1"/>
    <n v="1112.28"/>
    <n v="9.26"/>
    <n v="76.38"/>
    <n v="126.14"/>
    <n v="72.55"/>
    <n v="137.88999999999999"/>
    <n v="31.16"/>
    <n v="44.07"/>
    <n v="497.44"/>
    <n v="614.84"/>
    <s v="Jan"/>
    <n v="2025"/>
    <n v="0"/>
    <n v="0.55277448124572959"/>
    <n v="0.86771428571428566"/>
    <n v="80"/>
    <n v="1609.73"/>
  </r>
  <r>
    <d v="2025-01-28T00:00:00"/>
    <x v="0"/>
    <n v="377.57"/>
    <n v="73.41"/>
    <n v="45.86"/>
    <n v="28.47"/>
    <n v="136.18"/>
    <n v="185.09"/>
    <n v="18.16"/>
    <n v="29.48"/>
    <n v="516.65"/>
    <n v="-139.08000000000001"/>
    <s v="Jan"/>
    <n v="2025"/>
    <n v="1"/>
    <n v="-0.36835553672166754"/>
    <n v="0.51059999999999994"/>
    <n v="20"/>
    <n v="894.22"/>
  </r>
  <r>
    <d v="2025-01-29T00:00:00"/>
    <x v="0"/>
    <n v="273.44"/>
    <n v="75.14"/>
    <n v="48.58"/>
    <n v="53.76"/>
    <n v="138.11000000000001"/>
    <n v="139.97999999999999"/>
    <n v="24.52"/>
    <n v="17.760000000000002"/>
    <n v="497.85"/>
    <n v="-224.4"/>
    <s v="Jan"/>
    <n v="2025"/>
    <n v="1"/>
    <n v="-0.82065535400819201"/>
    <n v="0.49906666666666666"/>
    <n v="20"/>
    <n v="771.29"/>
  </r>
  <r>
    <d v="2025-01-30T00:00:00"/>
    <x v="0"/>
    <n v="348.82"/>
    <n v="68.260000000000005"/>
    <n v="43.38"/>
    <n v="47.61"/>
    <n v="106.71"/>
    <n v="174.78"/>
    <n v="16.510000000000002"/>
    <n v="10.72"/>
    <n v="467.97"/>
    <n v="-119.14"/>
    <s v="Jan"/>
    <n v="2025"/>
    <n v="1"/>
    <n v="-0.34155151654148275"/>
    <n v="0.54493333333333327"/>
    <n v="20"/>
    <n v="816.79"/>
  </r>
  <r>
    <d v="2025-01-31T00:00:00"/>
    <x v="0"/>
    <n v="437.48"/>
    <n v="83.81"/>
    <n v="20.62"/>
    <n v="68.790000000000006"/>
    <n v="97.43"/>
    <n v="157.9"/>
    <n v="22.35"/>
    <n v="27.19"/>
    <n v="478.1"/>
    <n v="-40.619999999999997"/>
    <s v="Jan"/>
    <n v="2025"/>
    <n v="1"/>
    <n v="-9.2849958855261941E-2"/>
    <n v="0.4412666666666667"/>
    <n v="20"/>
    <n v="915.56999999999994"/>
  </r>
  <r>
    <d v="2025-02-01T00:00:00"/>
    <x v="1"/>
    <n v="793.25"/>
    <n v="11.55"/>
    <n v="41.68"/>
    <n v="55.05"/>
    <n v="93.66"/>
    <n v="144.94999999999999"/>
    <n v="28.14"/>
    <n v="62.31"/>
    <n v="437.32"/>
    <n v="355.93"/>
    <s v="Feb"/>
    <n v="2025"/>
    <n v="0"/>
    <n v="0.44869839268830758"/>
    <n v="0.83499999999999996"/>
    <n v="80"/>
    <n v="1230.5899999999999"/>
  </r>
  <r>
    <d v="2025-02-02T00:00:00"/>
    <x v="1"/>
    <n v="833.99"/>
    <n v="16.2"/>
    <n v="69.989999999999995"/>
    <n v="94.16"/>
    <n v="96.52"/>
    <n v="195.99"/>
    <n v="26.34"/>
    <n v="21.44"/>
    <n v="520.64"/>
    <n v="313.35000000000002"/>
    <s v="Feb"/>
    <n v="2025"/>
    <n v="0"/>
    <n v="0.37572392954351974"/>
    <n v="0.76857142857142857"/>
    <n v="80"/>
    <n v="1354.63"/>
  </r>
  <r>
    <d v="2025-02-03T00:00:00"/>
    <x v="0"/>
    <n v="393.46"/>
    <n v="78.87"/>
    <n v="28.55"/>
    <n v="55.76"/>
    <n v="127.08"/>
    <n v="143.72"/>
    <n v="28.58"/>
    <n v="58.37"/>
    <n v="520.94000000000005"/>
    <n v="-127.48"/>
    <s v="Feb"/>
    <n v="2025"/>
    <n v="1"/>
    <n v="-0.32399735678340874"/>
    <n v="0.47419999999999995"/>
    <n v="20"/>
    <n v="914.3900000000001"/>
  </r>
  <r>
    <d v="2025-02-04T00:00:00"/>
    <x v="0"/>
    <n v="310.7"/>
    <n v="56.19"/>
    <n v="44.56"/>
    <n v="69.430000000000007"/>
    <n v="104.23"/>
    <n v="193.6"/>
    <n v="9.2899999999999991"/>
    <n v="38.32"/>
    <n v="515.61"/>
    <n v="-204.91"/>
    <s v="Feb"/>
    <n v="2025"/>
    <n v="1"/>
    <n v="-0.65951078210492442"/>
    <n v="0.62539999999999996"/>
    <n v="20"/>
    <n v="826.32"/>
  </r>
  <r>
    <d v="2025-02-05T00:00:00"/>
    <x v="1"/>
    <n v="828.83"/>
    <n v="23.6"/>
    <n v="99.85"/>
    <n v="57"/>
    <n v="84.01"/>
    <n v="200.09"/>
    <n v="18.52"/>
    <n v="39.32"/>
    <n v="522.38"/>
    <n v="306.45"/>
    <s v="Feb"/>
    <n v="2025"/>
    <n v="0"/>
    <n v="0.36973806450056101"/>
    <n v="0.66285714285714281"/>
    <n v="80"/>
    <n v="1351.22"/>
  </r>
  <r>
    <d v="2025-02-06T00:00:00"/>
    <x v="1"/>
    <n v="955.08"/>
    <n v="5.4"/>
    <n v="59.72"/>
    <n v="59.31"/>
    <n v="85.14"/>
    <n v="220.53"/>
    <n v="10.69"/>
    <n v="52.2"/>
    <n v="492.99"/>
    <n v="462.09"/>
    <s v="Feb"/>
    <n v="2025"/>
    <n v="0"/>
    <n v="0.48382334464128657"/>
    <n v="0.92285714285714282"/>
    <n v="80"/>
    <n v="1448.0700000000002"/>
  </r>
  <r>
    <d v="2025-02-07T00:00:00"/>
    <x v="1"/>
    <n v="894.21"/>
    <n v="13.6"/>
    <n v="75.81"/>
    <n v="90.2"/>
    <n v="106.41"/>
    <n v="203.89"/>
    <n v="19.02"/>
    <n v="30.82"/>
    <n v="539.74"/>
    <n v="354.46"/>
    <s v="Feb"/>
    <n v="2025"/>
    <n v="0"/>
    <n v="0.39639458292794755"/>
    <n v="0.80571428571428572"/>
    <n v="80"/>
    <n v="1433.9600000000003"/>
  </r>
  <r>
    <d v="2025-02-08T00:00:00"/>
    <x v="0"/>
    <n v="295.74"/>
    <n v="61.75"/>
    <n v="84.24"/>
    <n v="79.89"/>
    <n v="76.22"/>
    <n v="110.33"/>
    <n v="23.85"/>
    <n v="36.57"/>
    <n v="472.85"/>
    <n v="-177.1"/>
    <s v="Feb"/>
    <n v="2025"/>
    <n v="1"/>
    <n v="-0.59883681612226958"/>
    <n v="0.58833333333333337"/>
    <n v="20"/>
    <n v="768.59000000000015"/>
  </r>
  <r>
    <d v="2025-02-09T00:00:00"/>
    <x v="0"/>
    <n v="377.44"/>
    <n v="67.45"/>
    <n v="38.119999999999997"/>
    <n v="61.56"/>
    <n v="112.15"/>
    <n v="83.42"/>
    <n v="18.16"/>
    <n v="19.78"/>
    <n v="400.64"/>
    <n v="-23.2"/>
    <s v="Feb"/>
    <n v="2025"/>
    <n v="1"/>
    <n v="-6.1466723187791436E-2"/>
    <n v="0.55033333333333334"/>
    <n v="20"/>
    <n v="778.07999999999981"/>
  </r>
  <r>
    <d v="2025-02-10T00:00:00"/>
    <x v="0"/>
    <n v="358.76"/>
    <n v="99.85"/>
    <n v="45.51"/>
    <n v="48.73"/>
    <n v="133.05000000000001"/>
    <n v="164.48"/>
    <n v="23.36"/>
    <n v="37.28"/>
    <n v="552.26"/>
    <n v="-193.5"/>
    <s v="Feb"/>
    <n v="2025"/>
    <n v="1"/>
    <n v="-0.5393577879362248"/>
    <n v="0.33433333333333337"/>
    <n v="20"/>
    <n v="911.0200000000001"/>
  </r>
  <r>
    <d v="2025-02-11T00:00:00"/>
    <x v="0"/>
    <n v="452.83"/>
    <n v="58.69"/>
    <n v="47.1"/>
    <n v="36.47"/>
    <n v="123.89"/>
    <n v="122.44"/>
    <n v="16.66"/>
    <n v="26.46"/>
    <n v="431.72"/>
    <n v="21.11"/>
    <s v="Feb"/>
    <n v="2025"/>
    <n v="1"/>
    <n v="4.6617936090806708E-2"/>
    <n v="0.60873333333333335"/>
    <n v="40"/>
    <n v="884.54000000000008"/>
  </r>
  <r>
    <d v="2025-02-12T00:00:00"/>
    <x v="1"/>
    <n v="1145.1600000000001"/>
    <n v="19.59"/>
    <n v="35.090000000000003"/>
    <n v="81.650000000000006"/>
    <n v="80.81"/>
    <n v="125.95"/>
    <n v="20.05"/>
    <n v="35.369999999999997"/>
    <n v="398.51"/>
    <n v="746.66"/>
    <s v="Feb"/>
    <n v="2025"/>
    <n v="0"/>
    <n v="0.65201369240979423"/>
    <n v="0.7201428571428572"/>
    <n v="80"/>
    <n v="1543.6699999999998"/>
  </r>
  <r>
    <d v="2025-02-13T00:00:00"/>
    <x v="0"/>
    <n v="471.34"/>
    <n v="74.33"/>
    <n v="19.34"/>
    <n v="43.7"/>
    <n v="135.53"/>
    <n v="212.65"/>
    <n v="7.31"/>
    <n v="7.44"/>
    <n v="500.31"/>
    <n v="-28.97"/>
    <s v="Feb"/>
    <n v="2025"/>
    <n v="1"/>
    <n v="-6.14630627572453E-2"/>
    <n v="0.50446666666666662"/>
    <n v="20"/>
    <n v="971.64"/>
  </r>
  <r>
    <d v="2025-02-14T00:00:00"/>
    <x v="1"/>
    <n v="1324.19"/>
    <n v="16.95"/>
    <n v="42.63"/>
    <n v="96.04"/>
    <n v="42.29"/>
    <n v="170.12"/>
    <n v="24.95"/>
    <n v="53.86"/>
    <n v="446.84"/>
    <n v="877.35"/>
    <s v="Feb"/>
    <n v="2025"/>
    <n v="0"/>
    <n v="0.6625559776165052"/>
    <n v="0.7578571428571429"/>
    <n v="80"/>
    <n v="1771.0300000000002"/>
  </r>
  <r>
    <d v="2025-02-15T00:00:00"/>
    <x v="0"/>
    <n v="299.31"/>
    <n v="70.86"/>
    <n v="26.12"/>
    <n v="60.11"/>
    <n v="87.62"/>
    <n v="137.76"/>
    <n v="12.03"/>
    <n v="37.81"/>
    <n v="432.3"/>
    <n v="-133"/>
    <s v="Feb"/>
    <n v="2025"/>
    <n v="1"/>
    <n v="-0.44435535063980486"/>
    <n v="0.52760000000000007"/>
    <n v="20"/>
    <n v="731.61999999999989"/>
  </r>
  <r>
    <d v="2025-02-16T00:00:00"/>
    <x v="0"/>
    <n v="392.92"/>
    <n v="67.650000000000006"/>
    <n v="40.57"/>
    <n v="26.03"/>
    <n v="102.51"/>
    <n v="148.49"/>
    <n v="40.97"/>
    <n v="16.66"/>
    <n v="442.88"/>
    <n v="-49.96"/>
    <s v="Feb"/>
    <n v="2025"/>
    <n v="1"/>
    <n v="-0.127150565000509"/>
    <n v="0.54899999999999993"/>
    <n v="20"/>
    <n v="835.80000000000007"/>
  </r>
  <r>
    <d v="2025-02-17T00:00:00"/>
    <x v="1"/>
    <n v="1242.8399999999999"/>
    <n v="19.98"/>
    <n v="65.61"/>
    <n v="132.76"/>
    <n v="102.44"/>
    <n v="183.62"/>
    <n v="21.52"/>
    <n v="58.35"/>
    <n v="584.29"/>
    <n v="658.54"/>
    <s v="Feb"/>
    <n v="2025"/>
    <n v="0"/>
    <n v="0.52986707862637183"/>
    <n v="0.71457142857142864"/>
    <n v="80"/>
    <n v="1827.12"/>
  </r>
  <r>
    <d v="2025-02-18T00:00:00"/>
    <x v="0"/>
    <n v="404.82"/>
    <n v="63.74"/>
    <n v="20.21"/>
    <n v="50.94"/>
    <n v="90"/>
    <n v="148.09"/>
    <n v="29.9"/>
    <n v="24.51"/>
    <n v="427.4"/>
    <n v="-22.58"/>
    <s v="Feb"/>
    <n v="2025"/>
    <n v="1"/>
    <n v="-5.5777876587125137E-2"/>
    <n v="0.57506666666666661"/>
    <n v="20"/>
    <n v="832.21"/>
  </r>
  <r>
    <d v="2025-02-19T00:00:00"/>
    <x v="1"/>
    <n v="941.44"/>
    <n v="15.29"/>
    <n v="76.97"/>
    <n v="12.59"/>
    <n v="82.87"/>
    <n v="177.39"/>
    <n v="32.799999999999997"/>
    <n v="32.619999999999997"/>
    <n v="430.54"/>
    <n v="510.9"/>
    <s v="Feb"/>
    <n v="2025"/>
    <n v="0"/>
    <n v="0.542679299796057"/>
    <n v="0.78157142857142858"/>
    <n v="80"/>
    <n v="1371.9699999999996"/>
  </r>
  <r>
    <d v="2025-02-20T00:00:00"/>
    <x v="1"/>
    <n v="574.69000000000005"/>
    <n v="18.100000000000001"/>
    <n v="47.29"/>
    <n v="44.31"/>
    <n v="82.51"/>
    <n v="163.54"/>
    <n v="16.559999999999999"/>
    <n v="6.92"/>
    <n v="379.23"/>
    <n v="195.46"/>
    <s v="Feb"/>
    <n v="2025"/>
    <n v="0"/>
    <n v="0.34011380048373901"/>
    <n v="0.74142857142857133"/>
    <n v="80"/>
    <n v="953.92"/>
  </r>
  <r>
    <d v="2025-02-21T00:00:00"/>
    <x v="0"/>
    <n v="394.85"/>
    <n v="82.75"/>
    <n v="49.77"/>
    <n v="32.25"/>
    <n v="104.96"/>
    <n v="149.80000000000001"/>
    <n v="24.79"/>
    <n v="38.020000000000003"/>
    <n v="482.35"/>
    <n v="-87.49"/>
    <s v="Feb"/>
    <n v="2025"/>
    <n v="1"/>
    <n v="-0.22157781435988347"/>
    <n v="0.44833333333333336"/>
    <n v="20"/>
    <n v="877.19"/>
  </r>
  <r>
    <d v="2025-02-22T00:00:00"/>
    <x v="1"/>
    <n v="803.17"/>
    <n v="15.41"/>
    <n v="69.150000000000006"/>
    <n v="123.67"/>
    <n v="109.09"/>
    <n v="197.62"/>
    <n v="22.75"/>
    <n v="61.16"/>
    <n v="598.85"/>
    <n v="204.32"/>
    <s v="Feb"/>
    <n v="2025"/>
    <n v="0"/>
    <n v="0.25439197181169615"/>
    <n v="0.7798571428571428"/>
    <n v="80"/>
    <n v="1402.0199999999998"/>
  </r>
  <r>
    <d v="2025-02-23T00:00:00"/>
    <x v="0"/>
    <n v="370.49"/>
    <n v="61.39"/>
    <n v="61.05"/>
    <n v="68.959999999999994"/>
    <n v="98.92"/>
    <n v="135.62"/>
    <n v="22.37"/>
    <n v="35.56"/>
    <n v="483.87"/>
    <n v="-113.38"/>
    <s v="Feb"/>
    <n v="2025"/>
    <n v="1"/>
    <n v="-0.30602715322950685"/>
    <n v="0.59073333333333333"/>
    <n v="20"/>
    <n v="854.3599999999999"/>
  </r>
  <r>
    <d v="2025-02-24T00:00:00"/>
    <x v="1"/>
    <n v="989.46"/>
    <n v="16.559999999999999"/>
    <n v="94"/>
    <n v="112.15"/>
    <n v="98.81"/>
    <n v="202.95"/>
    <n v="12.71"/>
    <n v="45.97"/>
    <n v="583.14"/>
    <n v="406.32"/>
    <s v="Feb"/>
    <n v="2025"/>
    <n v="0"/>
    <n v="0.41064823236917103"/>
    <n v="0.76342857142857146"/>
    <n v="80"/>
    <n v="1572.6100000000001"/>
  </r>
  <r>
    <d v="2025-02-25T00:00:00"/>
    <x v="0"/>
    <n v="440.47"/>
    <n v="67.819999999999993"/>
    <n v="27.29"/>
    <n v="41.96"/>
    <n v="82.76"/>
    <n v="126.46"/>
    <n v="17.04"/>
    <n v="13.13"/>
    <n v="376.45"/>
    <n v="64.02"/>
    <s v="Feb"/>
    <n v="2025"/>
    <n v="1"/>
    <n v="0.14534474538561082"/>
    <n v="0.54786666666666672"/>
    <n v="60"/>
    <n v="816.93000000000006"/>
  </r>
  <r>
    <d v="2025-02-26T00:00:00"/>
    <x v="1"/>
    <n v="953.12"/>
    <n v="19.510000000000002"/>
    <n v="41.84"/>
    <n v="125.58"/>
    <n v="105.22"/>
    <n v="206.07"/>
    <n v="16.079999999999998"/>
    <n v="52.82"/>
    <n v="567.12"/>
    <n v="386.01"/>
    <s v="Feb"/>
    <n v="2025"/>
    <n v="0"/>
    <n v="0.40499622293100551"/>
    <n v="0.72128571428571431"/>
    <n v="80"/>
    <n v="1520.2399999999998"/>
  </r>
  <r>
    <d v="2025-02-27T00:00:00"/>
    <x v="1"/>
    <n v="731.61"/>
    <n v="19.45"/>
    <n v="63.44"/>
    <n v="96.6"/>
    <n v="71.489999999999995"/>
    <n v="138.66999999999999"/>
    <n v="27.38"/>
    <n v="25.77"/>
    <n v="442.8"/>
    <n v="288.82"/>
    <s v="Feb"/>
    <n v="2025"/>
    <n v="0"/>
    <n v="0.39477317149847596"/>
    <n v="0.7221428571428572"/>
    <n v="80"/>
    <n v="1174.4100000000001"/>
  </r>
  <r>
    <d v="2025-02-28T00:00:00"/>
    <x v="0"/>
    <n v="373.16"/>
    <n v="56.33"/>
    <n v="52.72"/>
    <n v="30.35"/>
    <n v="123.81"/>
    <n v="168.77"/>
    <n v="14.43"/>
    <n v="36.979999999999997"/>
    <n v="483.39"/>
    <n v="-110.23"/>
    <s v="Feb"/>
    <n v="2025"/>
    <n v="1"/>
    <n v="-0.29539607674991958"/>
    <n v="0.62446666666666673"/>
    <n v="20"/>
    <n v="856.55000000000007"/>
  </r>
  <r>
    <d v="2025-03-01T00:00:00"/>
    <x v="1"/>
    <n v="1002.09"/>
    <n v="12.31"/>
    <n v="39.83"/>
    <n v="21.12"/>
    <n v="101.99"/>
    <n v="115.23"/>
    <n v="22.86"/>
    <n v="36.049999999999997"/>
    <n v="349.39"/>
    <n v="652.70000000000005"/>
    <s v="Mar"/>
    <n v="2025"/>
    <n v="0"/>
    <n v="0.65133870211258471"/>
    <n v="0.82414285714285718"/>
    <n v="80"/>
    <n v="1351.4799999999998"/>
  </r>
  <r>
    <d v="2025-03-02T00:00:00"/>
    <x v="1"/>
    <n v="1085.83"/>
    <n v="13.49"/>
    <n v="53.41"/>
    <n v="101.96"/>
    <n v="101.7"/>
    <n v="181.07"/>
    <n v="26.22"/>
    <n v="16.97"/>
    <n v="494.81"/>
    <n v="591.02"/>
    <s v="Mar"/>
    <n v="2025"/>
    <n v="0"/>
    <n v="0.54430251512667727"/>
    <n v="0.80728571428571427"/>
    <n v="80"/>
    <n v="1580.65"/>
  </r>
  <r>
    <d v="2025-03-03T00:00:00"/>
    <x v="0"/>
    <n v="387.84"/>
    <n v="76.12"/>
    <n v="24.75"/>
    <n v="50.12"/>
    <n v="109.02"/>
    <n v="145.97"/>
    <n v="22.67"/>
    <n v="47.18"/>
    <n v="475.82"/>
    <n v="-87.98"/>
    <s v="Mar"/>
    <n v="2025"/>
    <n v="1"/>
    <n v="-0.22684612211221125"/>
    <n v="0.49253333333333327"/>
    <n v="20"/>
    <n v="863.66999999999985"/>
  </r>
  <r>
    <d v="2025-03-04T00:00:00"/>
    <x v="0"/>
    <n v="404.09"/>
    <n v="56.88"/>
    <n v="49.33"/>
    <n v="81.58"/>
    <n v="119.67"/>
    <n v="182.73"/>
    <n v="36.1"/>
    <n v="42.28"/>
    <n v="568.57000000000005"/>
    <n v="-164.48"/>
    <s v="Mar"/>
    <n v="2025"/>
    <n v="1"/>
    <n v="-0.40703803608107103"/>
    <n v="0.62080000000000002"/>
    <n v="20"/>
    <n v="972.66"/>
  </r>
  <r>
    <d v="2025-03-05T00:00:00"/>
    <x v="0"/>
    <n v="362.47"/>
    <n v="80.45"/>
    <n v="42.17"/>
    <n v="55.48"/>
    <n v="101.21"/>
    <n v="196.9"/>
    <n v="13.45"/>
    <n v="48.39"/>
    <n v="538.05999999999995"/>
    <n v="-175.59"/>
    <s v="Mar"/>
    <n v="2025"/>
    <n v="1"/>
    <n v="-0.48442629734874609"/>
    <n v="0.46366666666666667"/>
    <n v="20"/>
    <n v="900.5200000000001"/>
  </r>
  <r>
    <d v="2025-03-06T00:00:00"/>
    <x v="1"/>
    <n v="1049.97"/>
    <n v="8"/>
    <n v="67.349999999999994"/>
    <n v="17"/>
    <n v="107.51"/>
    <n v="200.98"/>
    <n v="16.670000000000002"/>
    <n v="41.85"/>
    <n v="459.37"/>
    <n v="590.6"/>
    <s v="Mar"/>
    <n v="2025"/>
    <n v="0"/>
    <n v="0.56249226168366717"/>
    <n v="0.88571428571428568"/>
    <n v="80"/>
    <n v="1509.33"/>
  </r>
  <r>
    <d v="2025-03-07T00:00:00"/>
    <x v="1"/>
    <n v="1340.83"/>
    <n v="12.47"/>
    <n v="38.82"/>
    <n v="124.45"/>
    <n v="134.25"/>
    <n v="170.13"/>
    <n v="31.1"/>
    <n v="60.12"/>
    <n v="571.35"/>
    <n v="769.48"/>
    <s v="Mar"/>
    <n v="2025"/>
    <n v="0"/>
    <n v="0.57388334091570148"/>
    <n v="0.82185714285714284"/>
    <n v="80"/>
    <n v="1912.1699999999996"/>
  </r>
  <r>
    <d v="2025-03-08T00:00:00"/>
    <x v="0"/>
    <n v="312.88"/>
    <n v="65.150000000000006"/>
    <n v="58.46"/>
    <n v="88.7"/>
    <n v="124.07"/>
    <n v="123.61"/>
    <n v="35.9"/>
    <n v="23.63"/>
    <n v="519.51"/>
    <n v="-206.64"/>
    <s v="Mar"/>
    <n v="2025"/>
    <n v="1"/>
    <n v="-0.66044489900281256"/>
    <n v="0.56566666666666665"/>
    <n v="20"/>
    <n v="832.4"/>
  </r>
  <r>
    <d v="2025-03-09T00:00:00"/>
    <x v="0"/>
    <n v="333.24"/>
    <n v="73.42"/>
    <n v="63.31"/>
    <n v="72.08"/>
    <n v="120.37"/>
    <n v="163.9"/>
    <n v="20.350000000000001"/>
    <n v="36.700000000000003"/>
    <n v="550.13"/>
    <n v="-216.89"/>
    <s v="Mar"/>
    <n v="2025"/>
    <n v="1"/>
    <n v="-0.6508522386268154"/>
    <n v="0.51053333333333328"/>
    <n v="20"/>
    <n v="883.37000000000012"/>
  </r>
  <r>
    <d v="2025-03-10T00:00:00"/>
    <x v="0"/>
    <n v="223.52"/>
    <n v="67.03"/>
    <n v="43.62"/>
    <n v="31.98"/>
    <n v="119.66"/>
    <n v="143.87"/>
    <n v="34.04"/>
    <n v="48.88"/>
    <n v="489.08"/>
    <n v="-265.56"/>
    <s v="Mar"/>
    <n v="2025"/>
    <n v="1"/>
    <n v="-1.1880816034359341"/>
    <n v="0.55313333333333325"/>
    <n v="20"/>
    <n v="712.6"/>
  </r>
  <r>
    <d v="2025-03-11T00:00:00"/>
    <x v="1"/>
    <n v="856.84"/>
    <n v="14.25"/>
    <n v="58.52"/>
    <n v="66.45"/>
    <n v="98.9"/>
    <n v="143.46"/>
    <n v="11.82"/>
    <n v="49.34"/>
    <n v="442.74"/>
    <n v="414.1"/>
    <s v="Mar"/>
    <n v="2025"/>
    <n v="0"/>
    <n v="0.48328742822463938"/>
    <n v="0.79642857142857149"/>
    <n v="80"/>
    <n v="1299.58"/>
  </r>
  <r>
    <d v="2025-03-12T00:00:00"/>
    <x v="1"/>
    <n v="1075.9100000000001"/>
    <n v="10.98"/>
    <n v="77.91"/>
    <n v="61.05"/>
    <n v="100.06"/>
    <n v="198.71"/>
    <n v="21.7"/>
    <n v="46.82"/>
    <n v="517.23"/>
    <n v="558.66999999999996"/>
    <s v="Mar"/>
    <n v="2025"/>
    <n v="0"/>
    <n v="0.51925346915634196"/>
    <n v="0.84314285714285719"/>
    <n v="80"/>
    <n v="1593.14"/>
  </r>
  <r>
    <d v="2025-03-13T00:00:00"/>
    <x v="0"/>
    <n v="324.18"/>
    <n v="68.040000000000006"/>
    <n v="36.909999999999997"/>
    <n v="40.07"/>
    <n v="105.58"/>
    <n v="103.54"/>
    <n v="16.07"/>
    <n v="26.58"/>
    <n v="396.79"/>
    <n v="-72.61"/>
    <s v="Mar"/>
    <n v="2025"/>
    <n v="1"/>
    <n v="-0.22398050465790609"/>
    <n v="0.5464"/>
    <n v="20"/>
    <n v="720.97"/>
  </r>
  <r>
    <d v="2025-03-14T00:00:00"/>
    <x v="1"/>
    <n v="898.76"/>
    <n v="13.79"/>
    <n v="58.76"/>
    <n v="94.38"/>
    <n v="112.49"/>
    <n v="147.26"/>
    <n v="11.17"/>
    <n v="24.37"/>
    <n v="462.23"/>
    <n v="436.53"/>
    <s v="Mar"/>
    <n v="2025"/>
    <n v="0"/>
    <n v="0.48570252347679022"/>
    <n v="0.80300000000000005"/>
    <n v="80"/>
    <n v="1360.98"/>
  </r>
  <r>
    <d v="2025-03-15T00:00:00"/>
    <x v="0"/>
    <n v="325.64"/>
    <n v="66.48"/>
    <n v="28.45"/>
    <n v="29.08"/>
    <n v="98.6"/>
    <n v="155.44"/>
    <n v="24.76"/>
    <n v="23.31"/>
    <n v="426.12"/>
    <n v="-100.48"/>
    <s v="Mar"/>
    <n v="2025"/>
    <n v="1"/>
    <n v="-0.30856160176882447"/>
    <n v="0.55679999999999996"/>
    <n v="20"/>
    <n v="751.76"/>
  </r>
  <r>
    <d v="2025-03-16T00:00:00"/>
    <x v="1"/>
    <n v="867.4"/>
    <n v="10.37"/>
    <n v="59.37"/>
    <n v="54.55"/>
    <n v="106.46"/>
    <n v="107.49"/>
    <n v="18.760000000000002"/>
    <n v="44.52"/>
    <n v="401.52"/>
    <n v="465.88"/>
    <s v="Mar"/>
    <n v="2025"/>
    <n v="0"/>
    <n v="0.53709937744985015"/>
    <n v="0.85185714285714287"/>
    <n v="80"/>
    <n v="1268.9199999999998"/>
  </r>
  <r>
    <d v="2025-03-17T00:00:00"/>
    <x v="0"/>
    <n v="359.19"/>
    <n v="96.93"/>
    <n v="45.25"/>
    <n v="34.92"/>
    <n v="107.61"/>
    <n v="96.71"/>
    <n v="19.36"/>
    <n v="20"/>
    <n v="420.78"/>
    <n v="-61.59"/>
    <s v="Mar"/>
    <n v="2025"/>
    <n v="1"/>
    <n v="-0.171469138895849"/>
    <n v="0.3538"/>
    <n v="20"/>
    <n v="779.97"/>
  </r>
  <r>
    <d v="2025-03-18T00:00:00"/>
    <x v="0"/>
    <n v="395.77"/>
    <n v="64.5"/>
    <n v="38.25"/>
    <n v="42.29"/>
    <n v="153.47"/>
    <n v="140.36000000000001"/>
    <n v="34.659999999999997"/>
    <n v="39.770000000000003"/>
    <n v="513.30999999999995"/>
    <n v="-117.54"/>
    <s v="Mar"/>
    <n v="2025"/>
    <n v="1"/>
    <n v="-0.29699067640296134"/>
    <n v="0.57000000000000006"/>
    <n v="20"/>
    <n v="909.06999999999994"/>
  </r>
  <r>
    <d v="2025-03-19T00:00:00"/>
    <x v="1"/>
    <n v="1046.4100000000001"/>
    <n v="16.84"/>
    <n v="67.88"/>
    <n v="22.17"/>
    <n v="89.42"/>
    <n v="199.58"/>
    <n v="21.56"/>
    <n v="18.920000000000002"/>
    <n v="436.37"/>
    <n v="610.04"/>
    <s v="Mar"/>
    <n v="2025"/>
    <n v="0"/>
    <n v="0.58298372530843545"/>
    <n v="0.75942857142857145"/>
    <n v="80"/>
    <n v="1482.7800000000002"/>
  </r>
  <r>
    <d v="2025-03-20T00:00:00"/>
    <x v="1"/>
    <n v="939.52"/>
    <n v="23.52"/>
    <n v="84.94"/>
    <n v="78.14"/>
    <n v="114.03"/>
    <n v="157.16999999999999"/>
    <n v="6.67"/>
    <n v="26.13"/>
    <n v="490.6"/>
    <n v="448.92"/>
    <s v="Mar"/>
    <n v="2025"/>
    <n v="0"/>
    <n v="0.47781846049046323"/>
    <n v="0.66399999999999992"/>
    <n v="80"/>
    <n v="1430.1200000000003"/>
  </r>
  <r>
    <d v="2025-03-21T00:00:00"/>
    <x v="0"/>
    <n v="428.14"/>
    <n v="67.260000000000005"/>
    <n v="36.35"/>
    <n v="49"/>
    <n v="157.6"/>
    <n v="198.78"/>
    <n v="37.75"/>
    <n v="28.09"/>
    <n v="574.84"/>
    <n v="-146.69"/>
    <s v="Mar"/>
    <n v="2025"/>
    <n v="1"/>
    <n v="-0.34262157238286545"/>
    <n v="0.55159999999999998"/>
    <n v="20"/>
    <n v="1002.97"/>
  </r>
  <r>
    <d v="2025-03-22T00:00:00"/>
    <x v="1"/>
    <n v="1009.12"/>
    <n v="7.42"/>
    <n v="89.54"/>
    <n v="44.97"/>
    <n v="99.34"/>
    <n v="131.59"/>
    <n v="16.7"/>
    <n v="27.44"/>
    <n v="416.99"/>
    <n v="592.13"/>
    <s v="Mar"/>
    <n v="2025"/>
    <n v="0"/>
    <n v="0.58677857935627076"/>
    <n v="0.89400000000000002"/>
    <n v="80"/>
    <n v="1426.12"/>
  </r>
  <r>
    <d v="2025-03-23T00:00:00"/>
    <x v="1"/>
    <n v="828.42"/>
    <n v="12.3"/>
    <n v="49.03"/>
    <n v="105"/>
    <n v="72.900000000000006"/>
    <n v="177.72"/>
    <n v="32.96"/>
    <n v="32.299999999999997"/>
    <n v="482.22"/>
    <n v="346.2"/>
    <s v="Mar"/>
    <n v="2025"/>
    <n v="0"/>
    <n v="0.41790396175852829"/>
    <n v="0.82428571428571429"/>
    <n v="80"/>
    <n v="1310.6299999999999"/>
  </r>
  <r>
    <d v="2025-03-24T00:00:00"/>
    <x v="1"/>
    <n v="806.42"/>
    <n v="13.85"/>
    <n v="83.59"/>
    <n v="85.82"/>
    <n v="84.38"/>
    <n v="186.94"/>
    <n v="12.08"/>
    <n v="50.22"/>
    <n v="516.88"/>
    <n v="289.54000000000002"/>
    <s v="Mar"/>
    <n v="2025"/>
    <n v="0"/>
    <n v="0.35904367451204089"/>
    <n v="0.80214285714285716"/>
    <n v="80"/>
    <n v="1323.3"/>
  </r>
  <r>
    <d v="2025-03-25T00:00:00"/>
    <x v="0"/>
    <n v="370.43"/>
    <n v="66.92"/>
    <n v="27.42"/>
    <n v="37.270000000000003"/>
    <n v="123.37"/>
    <n v="186.87"/>
    <n v="14.9"/>
    <n v="35.5"/>
    <n v="492.25"/>
    <n v="-121.82"/>
    <s v="Mar"/>
    <n v="2025"/>
    <n v="1"/>
    <n v="-0.32886105337040733"/>
    <n v="0.55386666666666673"/>
    <n v="20"/>
    <n v="862.68000000000006"/>
  </r>
  <r>
    <d v="2025-03-26T00:00:00"/>
    <x v="1"/>
    <n v="532.59"/>
    <n v="12.08"/>
    <n v="59.38"/>
    <n v="52.71"/>
    <n v="76.27"/>
    <n v="146.63"/>
    <n v="24.63"/>
    <n v="37.19"/>
    <n v="408.88"/>
    <n v="123.71"/>
    <s v="Mar"/>
    <n v="2025"/>
    <n v="0"/>
    <n v="0.23227999023639195"/>
    <n v="0.8274285714285714"/>
    <n v="80"/>
    <n v="941.48"/>
  </r>
  <r>
    <d v="2025-03-27T00:00:00"/>
    <x v="1"/>
    <n v="502.35"/>
    <n v="4.4000000000000004"/>
    <n v="47.86"/>
    <n v="93.73"/>
    <n v="40.049999999999997"/>
    <n v="152.51"/>
    <n v="17.260000000000002"/>
    <n v="60.83"/>
    <n v="416.64"/>
    <n v="85.72"/>
    <s v="Mar"/>
    <n v="2025"/>
    <n v="0"/>
    <n v="0.17063800139345078"/>
    <n v="0.93714285714285717"/>
    <n v="60"/>
    <n v="918.99"/>
  </r>
  <r>
    <d v="2025-03-28T00:00:00"/>
    <x v="0"/>
    <n v="330.75"/>
    <n v="73.83"/>
    <n v="42.12"/>
    <n v="12.39"/>
    <n v="129.21"/>
    <n v="156.46"/>
    <n v="24.07"/>
    <n v="77.11"/>
    <n v="515.19000000000005"/>
    <n v="-184.44"/>
    <s v="Mar"/>
    <n v="2025"/>
    <n v="1"/>
    <n v="-0.55764172335600903"/>
    <n v="0.50780000000000003"/>
    <n v="20"/>
    <n v="845.94"/>
  </r>
  <r>
    <d v="2025-03-29T00:00:00"/>
    <x v="0"/>
    <n v="245.79"/>
    <n v="87.25"/>
    <n v="35.69"/>
    <n v="60.75"/>
    <n v="108.86"/>
    <n v="137.27000000000001"/>
    <n v="15.44"/>
    <n v="33.950000000000003"/>
    <n v="479.21"/>
    <n v="-233.42"/>
    <s v="Mar"/>
    <n v="2025"/>
    <n v="1"/>
    <n v="-0.94967248464136045"/>
    <n v="0.41833333333333333"/>
    <n v="20"/>
    <n v="725"/>
  </r>
  <r>
    <d v="2025-03-30T00:00:00"/>
    <x v="0"/>
    <n v="274.14"/>
    <n v="77.510000000000005"/>
    <n v="33.76"/>
    <n v="32.4"/>
    <n v="98.75"/>
    <n v="187.71"/>
    <n v="15.72"/>
    <n v="34.299999999999997"/>
    <n v="480.14"/>
    <n v="-206"/>
    <s v="Mar"/>
    <n v="2025"/>
    <n v="1"/>
    <n v="-0.75144086962865697"/>
    <n v="0.48326666666666662"/>
    <n v="20"/>
    <n v="754.29"/>
  </r>
  <r>
    <d v="2025-03-31T00:00:00"/>
    <x v="0"/>
    <n v="313.45"/>
    <n v="77.58"/>
    <n v="50.28"/>
    <n v="91.97"/>
    <n v="105.61"/>
    <n v="170.06"/>
    <n v="20.78"/>
    <n v="45.55"/>
    <n v="561.84"/>
    <n v="-248.39"/>
    <s v="Mar"/>
    <n v="2025"/>
    <n v="1"/>
    <n v="-0.79243898548412828"/>
    <n v="0.48280000000000001"/>
    <n v="20"/>
    <n v="875.28"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459C0-975B-3E42-9544-B5D10BEBA27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8:C31" firstHeaderRow="0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6" showAll="0"/>
    <pivotField dataField="1" numFmtId="165" showAll="0"/>
    <pivotField numFmtId="165" showAll="0"/>
    <pivotField numFmtId="9" showAll="0"/>
    <pivotField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ome" fld="1" baseField="0" baseItem="0" numFmtId="166"/>
    <dataField name="Sum of TotalExpenses" fld="2" baseField="0" baseItem="0" numFmtId="165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AE9E0-4018-1E4E-A4B9-EB8BAE5D6D9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8:B92" firstHeaderRow="1" firstDataRow="1" firstDataCol="1"/>
  <pivotFields count="19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pense_Total" fld="1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74D69-9874-2D4E-A0E8-B1889DB19C2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3:B86" firstHeaderRow="1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numFmtId="165" showAll="0"/>
    <pivotField numFmtId="9" showAll="0"/>
    <pivotField dataField="1"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vg_Risk_Scores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1B420-DBFE-3E4A-92E3-624EADD1DB6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3:C66" firstHeaderRow="0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numFmtId="165" showAll="0"/>
    <pivotField numFmtId="9" showAll="0"/>
    <pivotField numFmtId="2" showAll="0"/>
    <pivotField dataField="1" numFmtId="166"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mart_Savings" fld="7" baseField="0" baseItem="0" numFmtId="165"/>
    <dataField name="Sum of Traditional_Savings" fld="6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59A7-AB21-8D4F-8CD0-6A3267AB00F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4:B47" firstHeaderRow="1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dataField="1" numFmtId="165" showAll="0"/>
    <pivotField numFmtId="9" showAll="0"/>
    <pivotField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vings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11918-BCA0-1C43-8366-4AE9296358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3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6"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Expenses" fld="2" baseField="0" baseItem="0" numFmtId="165"/>
    <dataField name="Sum of Total_Income" fld="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CA5BD-3063-BB47-A3D4-332510838DE6}" name="FARM_DATA" displayName="FARM_DATA" ref="A1:L366" totalsRowShown="0" headerRowDxfId="27" headerRowBorderDxfId="26" tableBorderDxfId="25">
  <autoFilter ref="A1:L366" xr:uid="{CA2CA5BD-3063-BB47-A3D4-332510838DE6}"/>
  <tableColumns count="12">
    <tableColumn id="1" xr3:uid="{53518C73-955E-7E48-AA6D-3F7F3E0C68BC}" name="Date" dataDxfId="24"/>
    <tableColumn id="2" xr3:uid="{EBCAA56A-C759-3B4B-AD13-E962D1088013}" name="Farmer_Type"/>
    <tableColumn id="3" xr3:uid="{3D9DC21B-B6CC-964E-92A9-265F4F99212A}" name="Income"/>
    <tableColumn id="4" xr3:uid="{447A3023-6BA7-2541-9DE5-8EBB4E620809}" name="Irrigation"/>
    <tableColumn id="5" xr3:uid="{BA3A9DB4-B2D9-6A40-B040-418E08DCACDA}" name="Seeds"/>
    <tableColumn id="6" xr3:uid="{F4FEA277-BBC4-7346-9BE3-6BC2286D7F35}" name="Fertilizer"/>
    <tableColumn id="7" xr3:uid="{AE0DB8D7-2C27-2D47-AC45-7C0679D7B27F}" name="Labor"/>
    <tableColumn id="8" xr3:uid="{29794641-D358-C944-A986-3D0A81F4042B}" name="Household"/>
    <tableColumn id="9" xr3:uid="{960F05A0-DE3A-FB4B-85D6-866A69178715}" name="Medical"/>
    <tableColumn id="10" xr3:uid="{F47A5BA8-1B48-2843-A9D4-CEEC70289AFD}" name="Misc"/>
    <tableColumn id="11" xr3:uid="{1B9CEEBF-C36D-6848-A2E7-7F7488BE8D42}" name="Total_Expenses"/>
    <tableColumn id="12" xr3:uid="{AB256BC1-855A-E34D-9B89-98447816E42F}" name="Savin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A7883-D799-6448-A189-8159C77CF06A}" name="CLEAN_TABLE" displayName="CLEAN_TABLE" ref="A1:S427" headerRowDxfId="23" dataDxfId="22" totalsRowDxfId="21">
  <autoFilter ref="A1:S427" xr:uid="{5F5A7883-D799-6448-A189-8159C77CF06A}"/>
  <tableColumns count="19">
    <tableColumn id="1" xr3:uid="{DB23B830-F6A4-134D-ACFA-3F94C9A59384}" name="Date" totalsRowLabel="Total" dataDxfId="20">
      <calculatedColumnFormula>FARM_DATA[[#This Row],[Date]]</calculatedColumnFormula>
    </tableColumn>
    <tableColumn id="2" xr3:uid="{CE314173-F021-4F41-98FB-B5A6C5F8F93F}" name="Farmer_Type" dataDxfId="19">
      <calculatedColumnFormula>FARM_DATA[[#This Row],[Farmer_Type]]</calculatedColumnFormula>
    </tableColumn>
    <tableColumn id="3" xr3:uid="{F41FA3C4-84D7-5544-8D1F-FAE8E5E0F7BD}" name="Income" dataDxfId="18">
      <calculatedColumnFormula>FARM_DATA[[#This Row],[Income]]</calculatedColumnFormula>
    </tableColumn>
    <tableColumn id="4" xr3:uid="{C8A7A323-6E5E-C24C-8733-2CD7B8A0373B}" name="Irrigation" dataDxfId="17">
      <calculatedColumnFormula>FARM_DATA[[#This Row],[Irrigation]]</calculatedColumnFormula>
    </tableColumn>
    <tableColumn id="5" xr3:uid="{40D8ECCF-D26B-034B-9E79-87427FB69EA5}" name="Seeds " dataDxfId="16">
      <calculatedColumnFormula>FARM_DATA[[#This Row],[Seeds]]</calculatedColumnFormula>
    </tableColumn>
    <tableColumn id="6" xr3:uid="{A18D431F-D3F5-5747-A441-6DDA1B62330E}" name="Fertilizer" dataDxfId="15">
      <calculatedColumnFormula>FARM_DATA[[#This Row],[Fertilizer]]</calculatedColumnFormula>
    </tableColumn>
    <tableColumn id="7" xr3:uid="{42778D31-236A-D84A-A4E3-A8D8A2C83FB0}" name="Labour " dataDxfId="14">
      <calculatedColumnFormula>FARM_DATA[[#This Row],[Labor]]</calculatedColumnFormula>
    </tableColumn>
    <tableColumn id="8" xr3:uid="{DD2B9057-AA00-0145-BF2A-A7524A6191D4}" name="Household" dataDxfId="13">
      <calculatedColumnFormula>FARM_DATA[[#This Row],[Household]]</calculatedColumnFormula>
    </tableColumn>
    <tableColumn id="9" xr3:uid="{BD970353-CFBA-5A42-B270-401F0C24F460}" name="Medical " dataDxfId="12">
      <calculatedColumnFormula>FARM_DATA[[#This Row],[Medical]]</calculatedColumnFormula>
    </tableColumn>
    <tableColumn id="10" xr3:uid="{E4786D06-4D32-2C47-AE21-8A73CF56166E}" name="Misc" dataDxfId="11">
      <calculatedColumnFormula>FARM_DATA[[#This Row],[Misc]]</calculatedColumnFormula>
    </tableColumn>
    <tableColumn id="11" xr3:uid="{65CE100D-0A7F-F44E-85B5-BCA5FF27CB15}" name="TotalExpenses" dataDxfId="10">
      <calculatedColumnFormula>FARM_DATA[[#This Row],[Total_Expenses]]</calculatedColumnFormula>
    </tableColumn>
    <tableColumn id="12" xr3:uid="{FE2E207C-CFF3-F945-A8EA-FE0FD325BC2D}" name="Savings" dataDxfId="9">
      <calculatedColumnFormula>FARM_DATA[[#This Row],[Savings]]</calculatedColumnFormula>
    </tableColumn>
    <tableColumn id="13" xr3:uid="{1D387E08-ECA0-B141-9740-738B9AFE5274}" name="Month" dataDxfId="8">
      <calculatedColumnFormula>TEXT(CLEAN_TABLE[[#This Row],[Date]], "mmm")</calculatedColumnFormula>
    </tableColumn>
    <tableColumn id="14" xr3:uid="{1A37312E-E1FC-1049-A02D-F7B9CE089423}" name="Year" dataDxfId="7">
      <calculatedColumnFormula>YEAR(CLEAN_TABLE[[#This Row],[Date]])</calculatedColumnFormula>
    </tableColumn>
    <tableColumn id="15" xr3:uid="{5EFB3D2E-B33F-634C-99E8-73D22DBFF398}" name="Farmer_Category_ID" dataDxfId="6">
      <calculatedColumnFormula>IF(CLEAN_TABLE[[#This Row],[Farmer_Type]]="Smart",0,1)</calculatedColumnFormula>
    </tableColumn>
    <tableColumn id="16" xr3:uid="{0C1D19EC-B70E-FF4E-9B4C-3822E14A7108}" name="Savings_Rate" totalsRowFunction="sum" dataDxfId="5" dataCellStyle="Percent">
      <calculatedColumnFormula>IFERROR(CLEAN_TABLE[[#This Row],[Savings]]/CLEAN_TABLE[[#This Row],[Income]],0)</calculatedColumnFormula>
    </tableColumn>
    <tableColumn id="17" xr3:uid="{8D2B0D0E-26BE-3540-9DD8-6BDFE69CDFDC}" name="Irrigation_Efficiency" dataDxfId="4" dataCellStyle="Percent">
      <calculatedColumnFormula>IF(CLEAN_TABLE[[#This Row],[Farmer_Type]]="Smart", 1 - (CLEAN_TABLE[[#This Row],[Irrigation]] / 70), 1 - (CLEAN_TABLE[[#This Row],[Irrigation]] / 150))</calculatedColumnFormula>
    </tableColumn>
    <tableColumn id="18" xr3:uid="{DB9FC1C0-0DE9-B74F-845F-1E7A13165D74}" name="Daily_Risk_Score" dataDxfId="3" totalsRowDxfId="2">
      <calculatedColumnFormula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calculatedColumnFormula>
    </tableColumn>
    <tableColumn id="19" xr3:uid="{317A521A-D1CC-AA47-B26C-C6BE5C51F240}" name="Expense_Total" dataDxfId="1" totalsRowDxfId="0">
      <calculatedColumnFormula xml:space="preserve"> CLEAN_TABLE[[#Headers],[Irrigation]]+CLEAN_TABLE[[#Headers],[Seeds ]]+CLEAN_TABLE[[#Headers],[Fertilizer]]+CLEAN_TABLE[[#Headers],[Labour ]]+CLEAN_TABLE[[#Headers],[Household]]+CLEAN_TABLE[[#Headers],[Medical ]]+CLEAN_TABLE[[#Headers],[Misc]]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workbookViewId="0">
      <selection sqref="A1:XFD1048576"/>
    </sheetView>
  </sheetViews>
  <sheetFormatPr baseColWidth="10" defaultColWidth="8.83203125" defaultRowHeight="15"/>
  <cols>
    <col min="1" max="1" width="17.6640625" bestFit="1" customWidth="1"/>
    <col min="2" max="2" width="13.5" customWidth="1"/>
    <col min="3" max="3" width="9.33203125" customWidth="1"/>
    <col min="4" max="4" width="10.6640625" customWidth="1"/>
    <col min="5" max="5" width="9" bestFit="1" customWidth="1"/>
    <col min="6" max="6" width="10.5" customWidth="1"/>
    <col min="7" max="7" width="9" bestFit="1" customWidth="1"/>
    <col min="8" max="8" width="11.83203125" customWidth="1"/>
    <col min="9" max="9" width="9.83203125" customWidth="1"/>
    <col min="10" max="10" width="9" bestFit="1" customWidth="1"/>
    <col min="11" max="11" width="15.1640625" customWidth="1"/>
    <col min="12" max="12" width="9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45383</v>
      </c>
      <c r="B2" t="s">
        <v>12</v>
      </c>
      <c r="C2">
        <v>374.84</v>
      </c>
      <c r="D2">
        <v>68.62</v>
      </c>
      <c r="E2">
        <v>49.72</v>
      </c>
      <c r="F2">
        <v>85.46</v>
      </c>
      <c r="G2">
        <v>104.15</v>
      </c>
      <c r="H2">
        <v>142.97999999999999</v>
      </c>
      <c r="I2">
        <v>32.630000000000003</v>
      </c>
      <c r="J2">
        <v>39.21</v>
      </c>
      <c r="K2">
        <v>522.76</v>
      </c>
      <c r="L2">
        <v>-147.91999999999999</v>
      </c>
    </row>
    <row r="3" spans="1:12">
      <c r="A3" s="1">
        <v>45384</v>
      </c>
      <c r="B3" t="s">
        <v>13</v>
      </c>
      <c r="C3">
        <v>856.11</v>
      </c>
      <c r="D3">
        <v>17.71</v>
      </c>
      <c r="E3">
        <v>50.73</v>
      </c>
      <c r="F3">
        <v>66.03</v>
      </c>
      <c r="G3">
        <v>99.84</v>
      </c>
      <c r="H3">
        <v>103.04</v>
      </c>
      <c r="I3">
        <v>6.48</v>
      </c>
      <c r="J3">
        <v>31.57</v>
      </c>
      <c r="K3">
        <v>375.39</v>
      </c>
      <c r="L3">
        <v>480.72</v>
      </c>
    </row>
    <row r="4" spans="1:12">
      <c r="A4" s="1">
        <v>45385</v>
      </c>
      <c r="B4" t="s">
        <v>12</v>
      </c>
      <c r="C4">
        <v>299.36</v>
      </c>
      <c r="D4">
        <v>73.14</v>
      </c>
      <c r="E4">
        <v>26.38</v>
      </c>
      <c r="F4">
        <v>26.75</v>
      </c>
      <c r="G4">
        <v>146.63999999999999</v>
      </c>
      <c r="H4">
        <v>143.22999999999999</v>
      </c>
      <c r="I4">
        <v>20.54</v>
      </c>
      <c r="J4">
        <v>12.9</v>
      </c>
      <c r="K4">
        <v>449.59</v>
      </c>
      <c r="L4">
        <v>-150.22999999999999</v>
      </c>
    </row>
    <row r="5" spans="1:12">
      <c r="A5" s="1">
        <v>45386</v>
      </c>
      <c r="B5" t="s">
        <v>13</v>
      </c>
      <c r="C5">
        <v>841.12</v>
      </c>
      <c r="D5">
        <v>15.55</v>
      </c>
      <c r="E5">
        <v>36.979999999999997</v>
      </c>
      <c r="F5">
        <v>91.27</v>
      </c>
      <c r="G5">
        <v>82.99</v>
      </c>
      <c r="H5">
        <v>159.79</v>
      </c>
      <c r="I5">
        <v>16.579999999999998</v>
      </c>
      <c r="J5">
        <v>67.78</v>
      </c>
      <c r="K5">
        <v>470.95</v>
      </c>
      <c r="L5">
        <v>370.17</v>
      </c>
    </row>
    <row r="6" spans="1:12">
      <c r="A6" s="1">
        <v>45387</v>
      </c>
      <c r="B6" t="s">
        <v>12</v>
      </c>
      <c r="C6">
        <v>349.33</v>
      </c>
      <c r="D6">
        <v>59.42</v>
      </c>
      <c r="E6">
        <v>52.34</v>
      </c>
      <c r="F6">
        <v>30.58</v>
      </c>
      <c r="G6">
        <v>115.22</v>
      </c>
      <c r="H6">
        <v>91.21</v>
      </c>
      <c r="I6">
        <v>9.3699999999999992</v>
      </c>
      <c r="J6">
        <v>32.36</v>
      </c>
      <c r="K6">
        <v>390.51</v>
      </c>
      <c r="L6">
        <v>-41.19</v>
      </c>
    </row>
    <row r="7" spans="1:12">
      <c r="A7" s="1">
        <v>45388</v>
      </c>
      <c r="B7" t="s">
        <v>13</v>
      </c>
      <c r="C7">
        <v>1097.69</v>
      </c>
      <c r="D7">
        <v>15.86</v>
      </c>
      <c r="E7">
        <v>57.69</v>
      </c>
      <c r="F7">
        <v>70.97</v>
      </c>
      <c r="G7">
        <v>65.430000000000007</v>
      </c>
      <c r="H7">
        <v>144.81</v>
      </c>
      <c r="I7">
        <v>17.850000000000001</v>
      </c>
      <c r="J7">
        <v>55.86</v>
      </c>
      <c r="K7">
        <v>428.46</v>
      </c>
      <c r="L7">
        <v>669.24</v>
      </c>
    </row>
    <row r="8" spans="1:12">
      <c r="A8" s="1">
        <v>45389</v>
      </c>
      <c r="B8" t="s">
        <v>13</v>
      </c>
      <c r="C8">
        <v>1018.72</v>
      </c>
      <c r="D8">
        <v>6.18</v>
      </c>
      <c r="E8">
        <v>66.48</v>
      </c>
      <c r="F8">
        <v>68.45</v>
      </c>
      <c r="G8">
        <v>81.459999999999994</v>
      </c>
      <c r="H8">
        <v>191.41</v>
      </c>
      <c r="I8">
        <v>31.28</v>
      </c>
      <c r="J8">
        <v>53.97</v>
      </c>
      <c r="K8">
        <v>499.23</v>
      </c>
      <c r="L8">
        <v>519.49</v>
      </c>
    </row>
    <row r="9" spans="1:12">
      <c r="A9" s="1">
        <v>45390</v>
      </c>
      <c r="B9" t="s">
        <v>12</v>
      </c>
      <c r="C9">
        <v>308.04000000000002</v>
      </c>
      <c r="D9">
        <v>66.91</v>
      </c>
      <c r="E9">
        <v>44.97</v>
      </c>
      <c r="F9">
        <v>74.510000000000005</v>
      </c>
      <c r="G9">
        <v>98.02</v>
      </c>
      <c r="H9">
        <v>144.43</v>
      </c>
      <c r="I9">
        <v>11.15</v>
      </c>
      <c r="J9">
        <v>15.65</v>
      </c>
      <c r="K9">
        <v>455.63</v>
      </c>
      <c r="L9">
        <v>-147.59</v>
      </c>
    </row>
    <row r="10" spans="1:12">
      <c r="A10" s="1">
        <v>45391</v>
      </c>
      <c r="B10" t="s">
        <v>12</v>
      </c>
      <c r="C10">
        <v>390.63</v>
      </c>
      <c r="D10">
        <v>83.56</v>
      </c>
      <c r="E10">
        <v>38.92</v>
      </c>
      <c r="F10">
        <v>75.069999999999993</v>
      </c>
      <c r="G10">
        <v>119.04</v>
      </c>
      <c r="H10">
        <v>130.65</v>
      </c>
      <c r="I10">
        <v>22.89</v>
      </c>
      <c r="J10">
        <v>48.46</v>
      </c>
      <c r="K10">
        <v>518.59</v>
      </c>
      <c r="L10">
        <v>-127.96</v>
      </c>
    </row>
    <row r="11" spans="1:12">
      <c r="A11" s="1">
        <v>45392</v>
      </c>
      <c r="B11" t="s">
        <v>12</v>
      </c>
      <c r="C11">
        <v>348.21</v>
      </c>
      <c r="D11">
        <v>85.65</v>
      </c>
      <c r="E11">
        <v>0.7</v>
      </c>
      <c r="F11">
        <v>71.44</v>
      </c>
      <c r="G11">
        <v>112.18</v>
      </c>
      <c r="H11">
        <v>141.03</v>
      </c>
      <c r="I11">
        <v>20.73</v>
      </c>
      <c r="J11">
        <v>6.15</v>
      </c>
      <c r="K11">
        <v>437.88</v>
      </c>
      <c r="L11">
        <v>-89.67</v>
      </c>
    </row>
    <row r="12" spans="1:12">
      <c r="A12" s="1">
        <v>45393</v>
      </c>
      <c r="B12" t="s">
        <v>13</v>
      </c>
      <c r="C12">
        <v>906.07</v>
      </c>
      <c r="D12">
        <v>16.79</v>
      </c>
      <c r="E12">
        <v>89.56</v>
      </c>
      <c r="F12">
        <v>64.45</v>
      </c>
      <c r="G12">
        <v>78.83</v>
      </c>
      <c r="H12">
        <v>152.44</v>
      </c>
      <c r="I12">
        <v>30.24</v>
      </c>
      <c r="J12">
        <v>44.93</v>
      </c>
      <c r="K12">
        <v>477.23</v>
      </c>
      <c r="L12">
        <v>428.83</v>
      </c>
    </row>
    <row r="13" spans="1:12">
      <c r="A13" s="1">
        <v>45394</v>
      </c>
      <c r="B13" t="s">
        <v>13</v>
      </c>
      <c r="C13">
        <v>844.05</v>
      </c>
      <c r="D13">
        <v>17.57</v>
      </c>
      <c r="E13">
        <v>61.94</v>
      </c>
      <c r="F13">
        <v>109.06</v>
      </c>
      <c r="G13">
        <v>80.959999999999994</v>
      </c>
      <c r="H13">
        <v>158.53</v>
      </c>
      <c r="I13">
        <v>18.47</v>
      </c>
      <c r="J13">
        <v>18.05</v>
      </c>
      <c r="K13">
        <v>464.58</v>
      </c>
      <c r="L13">
        <v>379.47</v>
      </c>
    </row>
    <row r="14" spans="1:12">
      <c r="A14" s="1">
        <v>45395</v>
      </c>
      <c r="B14" t="s">
        <v>12</v>
      </c>
      <c r="C14">
        <v>364.81</v>
      </c>
      <c r="D14">
        <v>72.61</v>
      </c>
      <c r="E14">
        <v>40.08</v>
      </c>
      <c r="F14">
        <v>50.31</v>
      </c>
      <c r="G14">
        <v>74.62</v>
      </c>
      <c r="H14">
        <v>137.38</v>
      </c>
      <c r="I14">
        <v>17.260000000000002</v>
      </c>
      <c r="J14">
        <v>20.37</v>
      </c>
      <c r="K14">
        <v>412.62</v>
      </c>
      <c r="L14">
        <v>-47.82</v>
      </c>
    </row>
    <row r="15" spans="1:12">
      <c r="A15" s="1">
        <v>45396</v>
      </c>
      <c r="B15" t="s">
        <v>12</v>
      </c>
      <c r="C15">
        <v>341.94</v>
      </c>
      <c r="D15">
        <v>74.040000000000006</v>
      </c>
      <c r="E15">
        <v>68.290000000000006</v>
      </c>
      <c r="F15">
        <v>58.49</v>
      </c>
      <c r="G15">
        <v>116.44</v>
      </c>
      <c r="H15">
        <v>147.77000000000001</v>
      </c>
      <c r="I15">
        <v>4.6500000000000004</v>
      </c>
      <c r="J15">
        <v>29.68</v>
      </c>
      <c r="K15">
        <v>499.36</v>
      </c>
      <c r="L15">
        <v>-157.43</v>
      </c>
    </row>
    <row r="16" spans="1:12">
      <c r="A16" s="1">
        <v>45397</v>
      </c>
      <c r="B16" t="s">
        <v>13</v>
      </c>
      <c r="C16">
        <v>962.05</v>
      </c>
      <c r="D16">
        <v>27.32</v>
      </c>
      <c r="E16">
        <v>56.15</v>
      </c>
      <c r="F16">
        <v>89.05</v>
      </c>
      <c r="G16">
        <v>94.31</v>
      </c>
      <c r="H16">
        <v>129.1</v>
      </c>
      <c r="I16">
        <v>32.29</v>
      </c>
      <c r="J16">
        <v>51.28</v>
      </c>
      <c r="K16">
        <v>479.48</v>
      </c>
      <c r="L16">
        <v>482.56</v>
      </c>
    </row>
    <row r="17" spans="1:12">
      <c r="A17" s="1">
        <v>45398</v>
      </c>
      <c r="B17" t="s">
        <v>12</v>
      </c>
      <c r="C17">
        <v>389.55</v>
      </c>
      <c r="D17">
        <v>60.91</v>
      </c>
      <c r="E17">
        <v>61.04</v>
      </c>
      <c r="F17">
        <v>26.96</v>
      </c>
      <c r="G17">
        <v>124.67</v>
      </c>
      <c r="H17">
        <v>215.71</v>
      </c>
      <c r="I17">
        <v>12.08</v>
      </c>
      <c r="J17">
        <v>23.2</v>
      </c>
      <c r="K17">
        <v>524.58000000000004</v>
      </c>
      <c r="L17">
        <v>-135.02000000000001</v>
      </c>
    </row>
    <row r="18" spans="1:12">
      <c r="A18" s="1">
        <v>45399</v>
      </c>
      <c r="B18" t="s">
        <v>12</v>
      </c>
      <c r="C18">
        <v>354.98</v>
      </c>
      <c r="D18">
        <v>64.97</v>
      </c>
      <c r="E18">
        <v>16.739999999999998</v>
      </c>
      <c r="F18">
        <v>56.37</v>
      </c>
      <c r="G18">
        <v>83.44</v>
      </c>
      <c r="H18">
        <v>164.21</v>
      </c>
      <c r="I18">
        <v>12.64</v>
      </c>
      <c r="J18">
        <v>48.6</v>
      </c>
      <c r="K18">
        <v>446.97</v>
      </c>
      <c r="L18">
        <v>-91.99</v>
      </c>
    </row>
    <row r="19" spans="1:12">
      <c r="A19" s="1">
        <v>45400</v>
      </c>
      <c r="B19" t="s">
        <v>13</v>
      </c>
      <c r="C19">
        <v>793.35</v>
      </c>
      <c r="D19">
        <v>13.39</v>
      </c>
      <c r="E19">
        <v>76.27</v>
      </c>
      <c r="F19">
        <v>43.07</v>
      </c>
      <c r="G19">
        <v>99.55</v>
      </c>
      <c r="H19">
        <v>215.75</v>
      </c>
      <c r="I19">
        <v>7.53</v>
      </c>
      <c r="J19">
        <v>42.77</v>
      </c>
      <c r="K19">
        <v>498.34</v>
      </c>
      <c r="L19">
        <v>295.01</v>
      </c>
    </row>
    <row r="20" spans="1:12">
      <c r="A20" s="1">
        <v>45401</v>
      </c>
      <c r="B20" t="s">
        <v>13</v>
      </c>
      <c r="C20">
        <v>1001.98</v>
      </c>
      <c r="D20">
        <v>18.91</v>
      </c>
      <c r="E20">
        <v>35.26</v>
      </c>
      <c r="F20">
        <v>40.39</v>
      </c>
      <c r="G20">
        <v>105.44</v>
      </c>
      <c r="H20">
        <v>180.39</v>
      </c>
      <c r="I20">
        <v>24.25</v>
      </c>
      <c r="J20">
        <v>45.2</v>
      </c>
      <c r="K20">
        <v>449.84</v>
      </c>
      <c r="L20">
        <v>552.14</v>
      </c>
    </row>
    <row r="21" spans="1:12">
      <c r="A21" s="1">
        <v>45402</v>
      </c>
      <c r="B21" t="s">
        <v>13</v>
      </c>
      <c r="C21">
        <v>814</v>
      </c>
      <c r="D21">
        <v>16.16</v>
      </c>
      <c r="E21">
        <v>65.86</v>
      </c>
      <c r="F21">
        <v>58.57</v>
      </c>
      <c r="G21">
        <v>132.32</v>
      </c>
      <c r="H21">
        <v>186.58</v>
      </c>
      <c r="I21">
        <v>11.28</v>
      </c>
      <c r="J21">
        <v>49.85</v>
      </c>
      <c r="K21">
        <v>520.62</v>
      </c>
      <c r="L21">
        <v>293.38</v>
      </c>
    </row>
    <row r="22" spans="1:12">
      <c r="A22" s="1">
        <v>45403</v>
      </c>
      <c r="B22" t="s">
        <v>12</v>
      </c>
      <c r="C22">
        <v>301.27</v>
      </c>
      <c r="D22">
        <v>77.87</v>
      </c>
      <c r="E22">
        <v>57.38</v>
      </c>
      <c r="F22">
        <v>38.590000000000003</v>
      </c>
      <c r="G22">
        <v>134.08000000000001</v>
      </c>
      <c r="H22">
        <v>162.38</v>
      </c>
      <c r="I22">
        <v>26.58</v>
      </c>
      <c r="J22">
        <v>52.76</v>
      </c>
      <c r="K22">
        <v>549.64</v>
      </c>
      <c r="L22">
        <v>-248.38</v>
      </c>
    </row>
    <row r="23" spans="1:12">
      <c r="A23" s="1">
        <v>45404</v>
      </c>
      <c r="B23" t="s">
        <v>12</v>
      </c>
      <c r="C23">
        <v>337.73</v>
      </c>
      <c r="D23">
        <v>62.46</v>
      </c>
      <c r="E23">
        <v>26.66</v>
      </c>
      <c r="F23">
        <v>38.68</v>
      </c>
      <c r="G23">
        <v>108.07</v>
      </c>
      <c r="H23">
        <v>160.22999999999999</v>
      </c>
      <c r="I23">
        <v>22.21</v>
      </c>
      <c r="J23">
        <v>39.93</v>
      </c>
      <c r="K23">
        <v>458.25</v>
      </c>
      <c r="L23">
        <v>-120.52</v>
      </c>
    </row>
    <row r="24" spans="1:12">
      <c r="A24" s="1">
        <v>45405</v>
      </c>
      <c r="B24" t="s">
        <v>12</v>
      </c>
      <c r="C24">
        <v>350.65</v>
      </c>
      <c r="D24">
        <v>84.54</v>
      </c>
      <c r="E24">
        <v>36.03</v>
      </c>
      <c r="F24">
        <v>109.4</v>
      </c>
      <c r="G24">
        <v>125.64</v>
      </c>
      <c r="H24">
        <v>124.29</v>
      </c>
      <c r="I24">
        <v>11.43</v>
      </c>
      <c r="J24">
        <v>35.79</v>
      </c>
      <c r="K24">
        <v>527.12</v>
      </c>
      <c r="L24">
        <v>-176.47</v>
      </c>
    </row>
    <row r="25" spans="1:12">
      <c r="A25" s="1">
        <v>45406</v>
      </c>
      <c r="B25" t="s">
        <v>12</v>
      </c>
      <c r="C25">
        <v>338.83</v>
      </c>
      <c r="D25">
        <v>77.14</v>
      </c>
      <c r="E25">
        <v>47.1</v>
      </c>
      <c r="F25">
        <v>53.54</v>
      </c>
      <c r="G25">
        <v>88.83</v>
      </c>
      <c r="H25">
        <v>104.55</v>
      </c>
      <c r="I25">
        <v>16.43</v>
      </c>
      <c r="J25">
        <v>40.28</v>
      </c>
      <c r="K25">
        <v>427.87</v>
      </c>
      <c r="L25">
        <v>-89.04</v>
      </c>
    </row>
    <row r="26" spans="1:12">
      <c r="A26" s="1">
        <v>45407</v>
      </c>
      <c r="B26" t="s">
        <v>13</v>
      </c>
      <c r="C26">
        <v>992.82</v>
      </c>
      <c r="D26">
        <v>8.77</v>
      </c>
      <c r="E26">
        <v>63.46</v>
      </c>
      <c r="F26">
        <v>91.56</v>
      </c>
      <c r="G26">
        <v>77.319999999999993</v>
      </c>
      <c r="H26">
        <v>175.38</v>
      </c>
      <c r="I26">
        <v>22.52</v>
      </c>
      <c r="J26">
        <v>22.86</v>
      </c>
      <c r="K26">
        <v>461.88</v>
      </c>
      <c r="L26">
        <v>530.94000000000005</v>
      </c>
    </row>
    <row r="27" spans="1:12">
      <c r="A27" s="1">
        <v>45408</v>
      </c>
      <c r="B27" t="s">
        <v>13</v>
      </c>
      <c r="C27">
        <v>1021.56</v>
      </c>
      <c r="D27">
        <v>17.8</v>
      </c>
      <c r="E27">
        <v>81.66</v>
      </c>
      <c r="F27">
        <v>111.61</v>
      </c>
      <c r="G27">
        <v>67.45</v>
      </c>
      <c r="H27">
        <v>137.18</v>
      </c>
      <c r="I27">
        <v>26.64</v>
      </c>
      <c r="J27">
        <v>47.71</v>
      </c>
      <c r="K27">
        <v>490.04</v>
      </c>
      <c r="L27">
        <v>531.51</v>
      </c>
    </row>
    <row r="28" spans="1:12">
      <c r="A28" s="1">
        <v>45409</v>
      </c>
      <c r="B28" t="s">
        <v>12</v>
      </c>
      <c r="C28">
        <v>375.75</v>
      </c>
      <c r="D28">
        <v>108.53</v>
      </c>
      <c r="E28">
        <v>48.56</v>
      </c>
      <c r="F28">
        <v>77.709999999999994</v>
      </c>
      <c r="G28">
        <v>133.85</v>
      </c>
      <c r="H28">
        <v>169.54</v>
      </c>
      <c r="I28">
        <v>17.48</v>
      </c>
      <c r="J28">
        <v>39.11</v>
      </c>
      <c r="K28">
        <v>594.78</v>
      </c>
      <c r="L28">
        <v>-219.03</v>
      </c>
    </row>
    <row r="29" spans="1:12">
      <c r="A29" s="1">
        <v>45410</v>
      </c>
      <c r="B29" t="s">
        <v>12</v>
      </c>
      <c r="C29">
        <v>311.36</v>
      </c>
      <c r="D29">
        <v>67.63</v>
      </c>
      <c r="E29">
        <v>32.72</v>
      </c>
      <c r="F29">
        <v>56.64</v>
      </c>
      <c r="G29">
        <v>167.87</v>
      </c>
      <c r="H29">
        <v>93.98</v>
      </c>
      <c r="I29">
        <v>25.49</v>
      </c>
      <c r="J29">
        <v>10.65</v>
      </c>
      <c r="K29">
        <v>454.97</v>
      </c>
      <c r="L29">
        <v>-143.62</v>
      </c>
    </row>
    <row r="30" spans="1:12">
      <c r="A30" s="1">
        <v>45411</v>
      </c>
      <c r="B30" t="s">
        <v>12</v>
      </c>
      <c r="C30">
        <v>326.39999999999998</v>
      </c>
      <c r="D30">
        <v>80.89</v>
      </c>
      <c r="E30">
        <v>40.96</v>
      </c>
      <c r="F30">
        <v>33.450000000000003</v>
      </c>
      <c r="G30">
        <v>92.12</v>
      </c>
      <c r="H30">
        <v>170.39</v>
      </c>
      <c r="I30">
        <v>14.16</v>
      </c>
      <c r="J30">
        <v>32.6</v>
      </c>
      <c r="K30">
        <v>464.56</v>
      </c>
      <c r="L30">
        <v>-138.16</v>
      </c>
    </row>
    <row r="31" spans="1:12">
      <c r="A31" s="1">
        <v>45412</v>
      </c>
      <c r="B31" t="s">
        <v>13</v>
      </c>
      <c r="C31">
        <v>959.11</v>
      </c>
      <c r="D31">
        <v>11.74</v>
      </c>
      <c r="E31">
        <v>102.88</v>
      </c>
      <c r="F31">
        <v>99.02</v>
      </c>
      <c r="G31">
        <v>54.5</v>
      </c>
      <c r="H31">
        <v>176.53</v>
      </c>
      <c r="I31">
        <v>16.04</v>
      </c>
      <c r="J31">
        <v>52.79</v>
      </c>
      <c r="K31">
        <v>513.49</v>
      </c>
      <c r="L31">
        <v>445.62</v>
      </c>
    </row>
    <row r="32" spans="1:12">
      <c r="A32" s="1">
        <v>45413</v>
      </c>
      <c r="B32" t="s">
        <v>12</v>
      </c>
      <c r="C32">
        <v>310.37</v>
      </c>
      <c r="D32">
        <v>68.849999999999994</v>
      </c>
      <c r="E32">
        <v>47.57</v>
      </c>
      <c r="F32">
        <v>72.319999999999993</v>
      </c>
      <c r="G32">
        <v>79.989999999999995</v>
      </c>
      <c r="H32">
        <v>139.96</v>
      </c>
      <c r="I32">
        <v>16.2</v>
      </c>
      <c r="J32">
        <v>22.16</v>
      </c>
      <c r="K32">
        <v>447.06</v>
      </c>
      <c r="L32">
        <v>-136.69</v>
      </c>
    </row>
    <row r="33" spans="1:12">
      <c r="A33" s="1">
        <v>45414</v>
      </c>
      <c r="B33" t="s">
        <v>12</v>
      </c>
      <c r="C33">
        <v>438.27</v>
      </c>
      <c r="D33">
        <v>74.05</v>
      </c>
      <c r="E33">
        <v>21.09</v>
      </c>
      <c r="F33">
        <v>73.36</v>
      </c>
      <c r="G33">
        <v>163.05000000000001</v>
      </c>
      <c r="H33">
        <v>180.97</v>
      </c>
      <c r="I33">
        <v>7.85</v>
      </c>
      <c r="J33">
        <v>24.19</v>
      </c>
      <c r="K33">
        <v>544.55999999999995</v>
      </c>
      <c r="L33">
        <v>-106.28</v>
      </c>
    </row>
    <row r="34" spans="1:12">
      <c r="A34" s="1">
        <v>45415</v>
      </c>
      <c r="B34" t="s">
        <v>12</v>
      </c>
      <c r="C34">
        <v>413.35</v>
      </c>
      <c r="D34">
        <v>62.92</v>
      </c>
      <c r="E34">
        <v>46.66</v>
      </c>
      <c r="F34">
        <v>70.489999999999995</v>
      </c>
      <c r="G34">
        <v>86.83</v>
      </c>
      <c r="H34">
        <v>148.21</v>
      </c>
      <c r="I34">
        <v>-5.93</v>
      </c>
      <c r="J34">
        <v>17.71</v>
      </c>
      <c r="K34">
        <v>426.89</v>
      </c>
      <c r="L34">
        <v>-13.55</v>
      </c>
    </row>
    <row r="35" spans="1:12">
      <c r="A35" s="1">
        <v>45416</v>
      </c>
      <c r="B35" t="s">
        <v>12</v>
      </c>
      <c r="C35">
        <v>337.37</v>
      </c>
      <c r="D35">
        <v>57.52</v>
      </c>
      <c r="E35">
        <v>64.489999999999995</v>
      </c>
      <c r="F35">
        <v>26.4</v>
      </c>
      <c r="G35">
        <v>99</v>
      </c>
      <c r="H35">
        <v>153.91999999999999</v>
      </c>
      <c r="I35">
        <v>31.53</v>
      </c>
      <c r="J35">
        <v>12.77</v>
      </c>
      <c r="K35">
        <v>445.63</v>
      </c>
      <c r="L35">
        <v>-108.25</v>
      </c>
    </row>
    <row r="36" spans="1:12">
      <c r="A36" s="1">
        <v>45417</v>
      </c>
      <c r="B36" t="s">
        <v>12</v>
      </c>
      <c r="C36">
        <v>408.16</v>
      </c>
      <c r="D36">
        <v>70.099999999999994</v>
      </c>
      <c r="E36">
        <v>25.28</v>
      </c>
      <c r="F36">
        <v>64.239999999999995</v>
      </c>
      <c r="G36">
        <v>114.98</v>
      </c>
      <c r="H36">
        <v>131.99</v>
      </c>
      <c r="I36">
        <v>20.56</v>
      </c>
      <c r="J36">
        <v>25.38</v>
      </c>
      <c r="K36">
        <v>452.53</v>
      </c>
      <c r="L36">
        <v>-44.37</v>
      </c>
    </row>
    <row r="37" spans="1:12">
      <c r="A37" s="1">
        <v>45418</v>
      </c>
      <c r="B37" t="s">
        <v>12</v>
      </c>
      <c r="C37">
        <v>355.68</v>
      </c>
      <c r="D37">
        <v>76.62</v>
      </c>
      <c r="E37">
        <v>63.79</v>
      </c>
      <c r="F37">
        <v>30.24</v>
      </c>
      <c r="G37">
        <v>163.33000000000001</v>
      </c>
      <c r="H37">
        <v>91.44</v>
      </c>
      <c r="I37">
        <v>18.79</v>
      </c>
      <c r="J37">
        <v>37.06</v>
      </c>
      <c r="K37">
        <v>481.26</v>
      </c>
      <c r="L37">
        <v>-125.59</v>
      </c>
    </row>
    <row r="38" spans="1:12">
      <c r="A38" s="1">
        <v>45419</v>
      </c>
      <c r="B38" t="s">
        <v>12</v>
      </c>
      <c r="C38">
        <v>364.05</v>
      </c>
      <c r="D38">
        <v>63.77</v>
      </c>
      <c r="E38">
        <v>36.880000000000003</v>
      </c>
      <c r="F38">
        <v>45.14</v>
      </c>
      <c r="G38">
        <v>95.27</v>
      </c>
      <c r="H38">
        <v>175.49</v>
      </c>
      <c r="I38">
        <v>22.86</v>
      </c>
      <c r="J38">
        <v>21.69</v>
      </c>
      <c r="K38">
        <v>461.09</v>
      </c>
      <c r="L38">
        <v>-97.04</v>
      </c>
    </row>
    <row r="39" spans="1:12">
      <c r="A39" s="1">
        <v>45420</v>
      </c>
      <c r="B39" t="s">
        <v>12</v>
      </c>
      <c r="C39">
        <v>394.98</v>
      </c>
      <c r="D39">
        <v>73.069999999999993</v>
      </c>
      <c r="E39">
        <v>52.19</v>
      </c>
      <c r="F39">
        <v>67.59</v>
      </c>
      <c r="G39">
        <v>89.28</v>
      </c>
      <c r="H39">
        <v>133.19</v>
      </c>
      <c r="I39">
        <v>25.98</v>
      </c>
      <c r="J39">
        <v>37.32</v>
      </c>
      <c r="K39">
        <v>478.63</v>
      </c>
      <c r="L39">
        <v>-83.65</v>
      </c>
    </row>
    <row r="40" spans="1:12">
      <c r="A40" s="1">
        <v>45421</v>
      </c>
      <c r="B40" t="s">
        <v>13</v>
      </c>
      <c r="C40">
        <v>945.82</v>
      </c>
      <c r="D40">
        <v>15.59</v>
      </c>
      <c r="E40">
        <v>85.55</v>
      </c>
      <c r="F40">
        <v>62.25</v>
      </c>
      <c r="G40">
        <v>105.94</v>
      </c>
      <c r="H40">
        <v>162.91999999999999</v>
      </c>
      <c r="I40">
        <v>20.04</v>
      </c>
      <c r="J40">
        <v>56.48</v>
      </c>
      <c r="K40">
        <v>508.78</v>
      </c>
      <c r="L40">
        <v>437.04</v>
      </c>
    </row>
    <row r="41" spans="1:12">
      <c r="A41" s="1">
        <v>45422</v>
      </c>
      <c r="B41" t="s">
        <v>13</v>
      </c>
      <c r="C41">
        <v>1115.08</v>
      </c>
      <c r="D41">
        <v>19.07</v>
      </c>
      <c r="E41">
        <v>86.11</v>
      </c>
      <c r="F41">
        <v>80.63</v>
      </c>
      <c r="G41">
        <v>108.64</v>
      </c>
      <c r="H41">
        <v>159.13999999999999</v>
      </c>
      <c r="I41">
        <v>24.92</v>
      </c>
      <c r="J41">
        <v>38.049999999999997</v>
      </c>
      <c r="K41">
        <v>516.54999999999995</v>
      </c>
      <c r="L41">
        <v>598.53</v>
      </c>
    </row>
    <row r="42" spans="1:12">
      <c r="A42" s="1">
        <v>45423</v>
      </c>
      <c r="B42" t="s">
        <v>12</v>
      </c>
      <c r="C42">
        <v>354.85</v>
      </c>
      <c r="D42">
        <v>75.95</v>
      </c>
      <c r="E42">
        <v>27.73</v>
      </c>
      <c r="F42">
        <v>96.85</v>
      </c>
      <c r="G42">
        <v>84.85</v>
      </c>
      <c r="H42">
        <v>113.57</v>
      </c>
      <c r="I42">
        <v>29.26</v>
      </c>
      <c r="J42">
        <v>39.5</v>
      </c>
      <c r="K42">
        <v>467.71</v>
      </c>
      <c r="L42">
        <v>-112.86</v>
      </c>
    </row>
    <row r="43" spans="1:12">
      <c r="A43" s="1">
        <v>45424</v>
      </c>
      <c r="B43" t="s">
        <v>13</v>
      </c>
      <c r="C43">
        <v>1074.82</v>
      </c>
      <c r="D43">
        <v>18.14</v>
      </c>
      <c r="E43">
        <v>59.76</v>
      </c>
      <c r="F43">
        <v>53.08</v>
      </c>
      <c r="G43">
        <v>96.52</v>
      </c>
      <c r="H43">
        <v>146.30000000000001</v>
      </c>
      <c r="I43">
        <v>30.78</v>
      </c>
      <c r="J43">
        <v>37.79</v>
      </c>
      <c r="K43">
        <v>442.36</v>
      </c>
      <c r="L43">
        <v>632.46</v>
      </c>
    </row>
    <row r="44" spans="1:12">
      <c r="A44" s="1">
        <v>45425</v>
      </c>
      <c r="B44" t="s">
        <v>12</v>
      </c>
      <c r="C44">
        <v>308.73</v>
      </c>
      <c r="D44">
        <v>66.790000000000006</v>
      </c>
      <c r="E44">
        <v>46.19</v>
      </c>
      <c r="F44">
        <v>43.73</v>
      </c>
      <c r="G44">
        <v>89.44</v>
      </c>
      <c r="H44">
        <v>157.31</v>
      </c>
      <c r="I44">
        <v>21.96</v>
      </c>
      <c r="J44">
        <v>23.92</v>
      </c>
      <c r="K44">
        <v>449.34</v>
      </c>
      <c r="L44">
        <v>-140.61000000000001</v>
      </c>
    </row>
    <row r="45" spans="1:12">
      <c r="A45" s="1">
        <v>45426</v>
      </c>
      <c r="B45" t="s">
        <v>13</v>
      </c>
      <c r="C45">
        <v>855.79</v>
      </c>
      <c r="D45">
        <v>16.16</v>
      </c>
      <c r="E45">
        <v>31.04</v>
      </c>
      <c r="F45">
        <v>37.78</v>
      </c>
      <c r="G45">
        <v>80.63</v>
      </c>
      <c r="H45">
        <v>162.53</v>
      </c>
      <c r="I45">
        <v>24.8</v>
      </c>
      <c r="J45">
        <v>62.13</v>
      </c>
      <c r="K45">
        <v>415.06</v>
      </c>
      <c r="L45">
        <v>440.73</v>
      </c>
    </row>
    <row r="46" spans="1:12">
      <c r="A46" s="1">
        <v>45427</v>
      </c>
      <c r="B46" t="s">
        <v>13</v>
      </c>
      <c r="C46">
        <v>1121.53</v>
      </c>
      <c r="D46">
        <v>14.2</v>
      </c>
      <c r="E46">
        <v>59.62</v>
      </c>
      <c r="F46">
        <v>49.92</v>
      </c>
      <c r="G46">
        <v>94.63</v>
      </c>
      <c r="H46">
        <v>159.9</v>
      </c>
      <c r="I46">
        <v>24.9</v>
      </c>
      <c r="J46">
        <v>27.59</v>
      </c>
      <c r="K46">
        <v>430.77</v>
      </c>
      <c r="L46">
        <v>690.77</v>
      </c>
    </row>
    <row r="47" spans="1:12">
      <c r="A47" s="1">
        <v>45428</v>
      </c>
      <c r="B47" t="s">
        <v>13</v>
      </c>
      <c r="C47">
        <v>1053.8699999999999</v>
      </c>
      <c r="D47">
        <v>22.66</v>
      </c>
      <c r="E47">
        <v>57.82</v>
      </c>
      <c r="F47">
        <v>92.05</v>
      </c>
      <c r="G47">
        <v>108.8</v>
      </c>
      <c r="H47">
        <v>155.96</v>
      </c>
      <c r="I47">
        <v>24.02</v>
      </c>
      <c r="J47">
        <v>40.19</v>
      </c>
      <c r="K47">
        <v>501.51</v>
      </c>
      <c r="L47">
        <v>552.36</v>
      </c>
    </row>
    <row r="48" spans="1:12">
      <c r="A48" s="1">
        <v>45429</v>
      </c>
      <c r="B48" t="s">
        <v>13</v>
      </c>
      <c r="C48">
        <v>969.54</v>
      </c>
      <c r="D48">
        <v>11.13</v>
      </c>
      <c r="E48">
        <v>60.49</v>
      </c>
      <c r="F48">
        <v>94.94</v>
      </c>
      <c r="G48">
        <v>124.02</v>
      </c>
      <c r="H48">
        <v>203.57</v>
      </c>
      <c r="I48">
        <v>41.38</v>
      </c>
      <c r="J48">
        <v>28.49</v>
      </c>
      <c r="K48">
        <v>564.03</v>
      </c>
      <c r="L48">
        <v>405.5</v>
      </c>
    </row>
    <row r="49" spans="1:12">
      <c r="A49" s="1">
        <v>45430</v>
      </c>
      <c r="B49" t="s">
        <v>12</v>
      </c>
      <c r="C49">
        <v>393.62</v>
      </c>
      <c r="D49">
        <v>71.83</v>
      </c>
      <c r="E49">
        <v>72.849999999999994</v>
      </c>
      <c r="F49">
        <v>38.83</v>
      </c>
      <c r="G49">
        <v>89.01</v>
      </c>
      <c r="H49">
        <v>132.02000000000001</v>
      </c>
      <c r="I49">
        <v>3.01</v>
      </c>
      <c r="J49">
        <v>23.69</v>
      </c>
      <c r="K49">
        <v>431.24</v>
      </c>
      <c r="L49">
        <v>-37.619999999999997</v>
      </c>
    </row>
    <row r="50" spans="1:12">
      <c r="A50" s="1">
        <v>45431</v>
      </c>
      <c r="B50" t="s">
        <v>12</v>
      </c>
      <c r="C50">
        <v>312.04000000000002</v>
      </c>
      <c r="D50">
        <v>71.5</v>
      </c>
      <c r="E50">
        <v>45.13</v>
      </c>
      <c r="F50">
        <v>92.52</v>
      </c>
      <c r="G50">
        <v>133.76</v>
      </c>
      <c r="H50">
        <v>132.69</v>
      </c>
      <c r="I50">
        <v>12.81</v>
      </c>
      <c r="J50">
        <v>35.9</v>
      </c>
      <c r="K50">
        <v>524.32000000000005</v>
      </c>
      <c r="L50">
        <v>-212.28</v>
      </c>
    </row>
    <row r="51" spans="1:12">
      <c r="A51" s="1">
        <v>45432</v>
      </c>
      <c r="B51" t="s">
        <v>12</v>
      </c>
      <c r="C51">
        <v>283.99</v>
      </c>
      <c r="D51">
        <v>88.31</v>
      </c>
      <c r="E51">
        <v>57.69</v>
      </c>
      <c r="F51">
        <v>45.62</v>
      </c>
      <c r="G51">
        <v>67.17</v>
      </c>
      <c r="H51">
        <v>190.62</v>
      </c>
      <c r="I51">
        <v>19.079999999999998</v>
      </c>
      <c r="J51">
        <v>44.85</v>
      </c>
      <c r="K51">
        <v>513.35</v>
      </c>
      <c r="L51">
        <v>-229.36</v>
      </c>
    </row>
    <row r="52" spans="1:12">
      <c r="A52" s="1">
        <v>45433</v>
      </c>
      <c r="B52" t="s">
        <v>12</v>
      </c>
      <c r="C52">
        <v>270.27999999999997</v>
      </c>
      <c r="D52">
        <v>64.010000000000005</v>
      </c>
      <c r="E52">
        <v>40.08</v>
      </c>
      <c r="F52">
        <v>55.94</v>
      </c>
      <c r="G52">
        <v>98.75</v>
      </c>
      <c r="H52">
        <v>168.69</v>
      </c>
      <c r="I52">
        <v>11.46</v>
      </c>
      <c r="J52">
        <v>28.29</v>
      </c>
      <c r="K52">
        <v>467.21</v>
      </c>
      <c r="L52">
        <v>-196.93</v>
      </c>
    </row>
    <row r="53" spans="1:12">
      <c r="A53" s="1">
        <v>45434</v>
      </c>
      <c r="B53" t="s">
        <v>13</v>
      </c>
      <c r="C53">
        <v>974.06</v>
      </c>
      <c r="D53">
        <v>17.57</v>
      </c>
      <c r="E53">
        <v>74.23</v>
      </c>
      <c r="F53">
        <v>46.26</v>
      </c>
      <c r="G53">
        <v>64.319999999999993</v>
      </c>
      <c r="H53">
        <v>214.72</v>
      </c>
      <c r="I53">
        <v>24.99</v>
      </c>
      <c r="J53">
        <v>28.77</v>
      </c>
      <c r="K53">
        <v>470.87</v>
      </c>
      <c r="L53">
        <v>503.19</v>
      </c>
    </row>
    <row r="54" spans="1:12">
      <c r="A54" s="1">
        <v>45435</v>
      </c>
      <c r="B54" t="s">
        <v>13</v>
      </c>
      <c r="C54">
        <v>1260.23</v>
      </c>
      <c r="D54">
        <v>15.58</v>
      </c>
      <c r="E54">
        <v>83.59</v>
      </c>
      <c r="F54">
        <v>82.03</v>
      </c>
      <c r="G54">
        <v>136.21</v>
      </c>
      <c r="H54">
        <v>231.44</v>
      </c>
      <c r="I54">
        <v>19.760000000000002</v>
      </c>
      <c r="J54">
        <v>54.57</v>
      </c>
      <c r="K54">
        <v>623.16999999999996</v>
      </c>
      <c r="L54">
        <v>637.05999999999995</v>
      </c>
    </row>
    <row r="55" spans="1:12">
      <c r="A55" s="1">
        <v>45436</v>
      </c>
      <c r="B55" t="s">
        <v>13</v>
      </c>
      <c r="C55">
        <v>1079.08</v>
      </c>
      <c r="D55">
        <v>21.84</v>
      </c>
      <c r="E55">
        <v>40.700000000000003</v>
      </c>
      <c r="F55">
        <v>100.58</v>
      </c>
      <c r="G55">
        <v>116.17</v>
      </c>
      <c r="H55">
        <v>108.44</v>
      </c>
      <c r="I55">
        <v>11.35</v>
      </c>
      <c r="J55">
        <v>9.41</v>
      </c>
      <c r="K55">
        <v>408.5</v>
      </c>
      <c r="L55">
        <v>670.57</v>
      </c>
    </row>
    <row r="56" spans="1:12">
      <c r="A56" s="1">
        <v>45437</v>
      </c>
      <c r="B56" t="s">
        <v>12</v>
      </c>
      <c r="C56">
        <v>336.53</v>
      </c>
      <c r="D56">
        <v>77.180000000000007</v>
      </c>
      <c r="E56">
        <v>62.54</v>
      </c>
      <c r="F56">
        <v>56.48</v>
      </c>
      <c r="G56">
        <v>150.72</v>
      </c>
      <c r="H56">
        <v>108.6</v>
      </c>
      <c r="I56">
        <v>6.37</v>
      </c>
      <c r="J56">
        <v>29.33</v>
      </c>
      <c r="K56">
        <v>491.21</v>
      </c>
      <c r="L56">
        <v>-154.68</v>
      </c>
    </row>
    <row r="57" spans="1:12">
      <c r="A57" s="1">
        <v>45438</v>
      </c>
      <c r="B57" t="s">
        <v>12</v>
      </c>
      <c r="C57">
        <v>369.2</v>
      </c>
      <c r="D57">
        <v>69.67</v>
      </c>
      <c r="E57">
        <v>8.99</v>
      </c>
      <c r="F57">
        <v>53.22</v>
      </c>
      <c r="G57">
        <v>77.39</v>
      </c>
      <c r="H57">
        <v>170.09</v>
      </c>
      <c r="I57">
        <v>22.93</v>
      </c>
      <c r="J57">
        <v>18.72</v>
      </c>
      <c r="K57">
        <v>421.01</v>
      </c>
      <c r="L57">
        <v>-51.81</v>
      </c>
    </row>
    <row r="58" spans="1:12">
      <c r="A58" s="1">
        <v>45439</v>
      </c>
      <c r="B58" t="s">
        <v>12</v>
      </c>
      <c r="C58">
        <v>324.31</v>
      </c>
      <c r="D58">
        <v>59.41</v>
      </c>
      <c r="E58">
        <v>39.06</v>
      </c>
      <c r="F58">
        <v>74.099999999999994</v>
      </c>
      <c r="G58">
        <v>85.36</v>
      </c>
      <c r="H58">
        <v>165.12</v>
      </c>
      <c r="I58">
        <v>15.76</v>
      </c>
      <c r="J58">
        <v>20.49</v>
      </c>
      <c r="K58">
        <v>459.29</v>
      </c>
      <c r="L58">
        <v>-134.99</v>
      </c>
    </row>
    <row r="59" spans="1:12">
      <c r="A59" s="1">
        <v>45440</v>
      </c>
      <c r="B59" t="s">
        <v>12</v>
      </c>
      <c r="C59">
        <v>344.65</v>
      </c>
      <c r="D59">
        <v>59.65</v>
      </c>
      <c r="E59">
        <v>31.7</v>
      </c>
      <c r="F59">
        <v>31.04</v>
      </c>
      <c r="G59">
        <v>159.12</v>
      </c>
      <c r="H59">
        <v>151.06</v>
      </c>
      <c r="I59">
        <v>14.4</v>
      </c>
      <c r="J59">
        <v>32.57</v>
      </c>
      <c r="K59">
        <v>479.53</v>
      </c>
      <c r="L59">
        <v>-134.88</v>
      </c>
    </row>
    <row r="60" spans="1:12">
      <c r="A60" s="1">
        <v>45441</v>
      </c>
      <c r="B60" t="s">
        <v>12</v>
      </c>
      <c r="C60">
        <v>344.38</v>
      </c>
      <c r="D60">
        <v>67.790000000000006</v>
      </c>
      <c r="E60">
        <v>49.21</v>
      </c>
      <c r="F60">
        <v>70.150000000000006</v>
      </c>
      <c r="G60">
        <v>96.74</v>
      </c>
      <c r="H60">
        <v>132.72999999999999</v>
      </c>
      <c r="I60">
        <v>17.8</v>
      </c>
      <c r="J60">
        <v>2.38</v>
      </c>
      <c r="K60">
        <v>436.79</v>
      </c>
      <c r="L60">
        <v>-92.41</v>
      </c>
    </row>
    <row r="61" spans="1:12">
      <c r="A61" s="1">
        <v>45442</v>
      </c>
      <c r="B61" t="s">
        <v>12</v>
      </c>
      <c r="C61">
        <v>274.24</v>
      </c>
      <c r="D61">
        <v>83.67</v>
      </c>
      <c r="E61">
        <v>64.67</v>
      </c>
      <c r="F61">
        <v>50.02</v>
      </c>
      <c r="G61">
        <v>124.41</v>
      </c>
      <c r="H61">
        <v>159.34</v>
      </c>
      <c r="I61">
        <v>44.63</v>
      </c>
      <c r="J61">
        <v>43.43</v>
      </c>
      <c r="K61">
        <v>570.17999999999995</v>
      </c>
      <c r="L61">
        <v>-295.94</v>
      </c>
    </row>
    <row r="62" spans="1:12">
      <c r="A62" s="1">
        <v>45443</v>
      </c>
      <c r="B62" t="s">
        <v>13</v>
      </c>
      <c r="C62">
        <v>924.42</v>
      </c>
      <c r="D62">
        <v>10.220000000000001</v>
      </c>
      <c r="E62">
        <v>27.87</v>
      </c>
      <c r="F62">
        <v>86.1</v>
      </c>
      <c r="G62">
        <v>79.87</v>
      </c>
      <c r="H62">
        <v>120.22</v>
      </c>
      <c r="I62">
        <v>16.18</v>
      </c>
      <c r="J62">
        <v>23.78</v>
      </c>
      <c r="K62">
        <v>364.25</v>
      </c>
      <c r="L62">
        <v>560.16999999999996</v>
      </c>
    </row>
    <row r="63" spans="1:12">
      <c r="A63" s="1">
        <v>45444</v>
      </c>
      <c r="B63" t="s">
        <v>12</v>
      </c>
      <c r="C63">
        <v>434.36</v>
      </c>
      <c r="D63">
        <v>78.819999999999993</v>
      </c>
      <c r="E63">
        <v>39.880000000000003</v>
      </c>
      <c r="F63">
        <v>84.6</v>
      </c>
      <c r="G63">
        <v>111.93</v>
      </c>
      <c r="H63">
        <v>124.16</v>
      </c>
      <c r="I63">
        <v>32.18</v>
      </c>
      <c r="J63">
        <v>36.47</v>
      </c>
      <c r="K63">
        <v>508.04</v>
      </c>
      <c r="L63">
        <v>-73.69</v>
      </c>
    </row>
    <row r="64" spans="1:12">
      <c r="A64" s="1">
        <v>45445</v>
      </c>
      <c r="B64" t="s">
        <v>12</v>
      </c>
      <c r="C64">
        <v>298.14</v>
      </c>
      <c r="D64">
        <v>68.099999999999994</v>
      </c>
      <c r="E64">
        <v>26.87</v>
      </c>
      <c r="F64">
        <v>27.34</v>
      </c>
      <c r="G64">
        <v>133.15</v>
      </c>
      <c r="H64">
        <v>207.28</v>
      </c>
      <c r="I64">
        <v>8.81</v>
      </c>
      <c r="J64">
        <v>36.76</v>
      </c>
      <c r="K64">
        <v>508.31</v>
      </c>
      <c r="L64">
        <v>-210.17</v>
      </c>
    </row>
    <row r="65" spans="1:12">
      <c r="A65" s="1">
        <v>45446</v>
      </c>
      <c r="B65" t="s">
        <v>12</v>
      </c>
      <c r="C65">
        <v>317.47000000000003</v>
      </c>
      <c r="D65">
        <v>65.13</v>
      </c>
      <c r="E65">
        <v>31.11</v>
      </c>
      <c r="F65">
        <v>37.72</v>
      </c>
      <c r="G65">
        <v>111.21</v>
      </c>
      <c r="H65">
        <v>125.07</v>
      </c>
      <c r="I65">
        <v>22.16</v>
      </c>
      <c r="J65">
        <v>29.4</v>
      </c>
      <c r="K65">
        <v>421.81</v>
      </c>
      <c r="L65">
        <v>-104.34</v>
      </c>
    </row>
    <row r="66" spans="1:12">
      <c r="A66" s="1">
        <v>45447</v>
      </c>
      <c r="B66" t="s">
        <v>13</v>
      </c>
      <c r="C66">
        <v>902.21</v>
      </c>
      <c r="D66">
        <v>10.46</v>
      </c>
      <c r="E66">
        <v>48.46</v>
      </c>
      <c r="F66">
        <v>102.66</v>
      </c>
      <c r="G66">
        <v>105.02</v>
      </c>
      <c r="H66">
        <v>135.79</v>
      </c>
      <c r="I66">
        <v>22.89</v>
      </c>
      <c r="J66">
        <v>51.27</v>
      </c>
      <c r="K66">
        <v>476.56</v>
      </c>
      <c r="L66">
        <v>425.65</v>
      </c>
    </row>
    <row r="67" spans="1:12">
      <c r="A67" s="1">
        <v>45448</v>
      </c>
      <c r="B67" t="s">
        <v>12</v>
      </c>
      <c r="C67">
        <v>266.52999999999997</v>
      </c>
      <c r="D67">
        <v>75.430000000000007</v>
      </c>
      <c r="E67">
        <v>30.06</v>
      </c>
      <c r="F67">
        <v>66.41</v>
      </c>
      <c r="G67">
        <v>90.92</v>
      </c>
      <c r="H67">
        <v>95.85</v>
      </c>
      <c r="I67">
        <v>6.98</v>
      </c>
      <c r="J67">
        <v>30.58</v>
      </c>
      <c r="K67">
        <v>396.23</v>
      </c>
      <c r="L67">
        <v>-129.71</v>
      </c>
    </row>
    <row r="68" spans="1:12">
      <c r="A68" s="1">
        <v>45449</v>
      </c>
      <c r="B68" t="s">
        <v>13</v>
      </c>
      <c r="C68">
        <v>1001.94</v>
      </c>
      <c r="D68">
        <v>10.48</v>
      </c>
      <c r="E68">
        <v>72.77</v>
      </c>
      <c r="F68">
        <v>30.15</v>
      </c>
      <c r="G68">
        <v>93.68</v>
      </c>
      <c r="H68">
        <v>127.61</v>
      </c>
      <c r="I68">
        <v>16.13</v>
      </c>
      <c r="J68">
        <v>40.71</v>
      </c>
      <c r="K68">
        <v>391.54</v>
      </c>
      <c r="L68">
        <v>610.4</v>
      </c>
    </row>
    <row r="69" spans="1:12">
      <c r="A69" s="1">
        <v>45450</v>
      </c>
      <c r="B69" t="s">
        <v>12</v>
      </c>
      <c r="C69">
        <v>306.98</v>
      </c>
      <c r="D69">
        <v>66.150000000000006</v>
      </c>
      <c r="E69">
        <v>55.09</v>
      </c>
      <c r="F69">
        <v>43.46</v>
      </c>
      <c r="G69">
        <v>130.88999999999999</v>
      </c>
      <c r="H69">
        <v>116.11</v>
      </c>
      <c r="I69">
        <v>24.24</v>
      </c>
      <c r="J69">
        <v>47.3</v>
      </c>
      <c r="K69">
        <v>483.25</v>
      </c>
      <c r="L69">
        <v>-176.27</v>
      </c>
    </row>
    <row r="70" spans="1:12">
      <c r="A70" s="1">
        <v>45451</v>
      </c>
      <c r="B70" t="s">
        <v>13</v>
      </c>
      <c r="C70">
        <v>455.67</v>
      </c>
      <c r="D70">
        <v>11.02</v>
      </c>
      <c r="E70">
        <v>71.540000000000006</v>
      </c>
      <c r="F70">
        <v>73.91</v>
      </c>
      <c r="G70">
        <v>102.42</v>
      </c>
      <c r="H70">
        <v>148.86000000000001</v>
      </c>
      <c r="I70">
        <v>22.78</v>
      </c>
      <c r="J70">
        <v>37.659999999999997</v>
      </c>
      <c r="K70">
        <v>468.19</v>
      </c>
      <c r="L70">
        <v>-12.52</v>
      </c>
    </row>
    <row r="71" spans="1:12">
      <c r="A71" s="1">
        <v>45452</v>
      </c>
      <c r="B71" t="s">
        <v>12</v>
      </c>
      <c r="C71">
        <v>408.39</v>
      </c>
      <c r="D71">
        <v>72.540000000000006</v>
      </c>
      <c r="E71">
        <v>45.06</v>
      </c>
      <c r="F71">
        <v>46.76</v>
      </c>
      <c r="G71">
        <v>97.81</v>
      </c>
      <c r="H71">
        <v>137.02000000000001</v>
      </c>
      <c r="I71">
        <v>23.16</v>
      </c>
      <c r="J71">
        <v>24.95</v>
      </c>
      <c r="K71">
        <v>447.31</v>
      </c>
      <c r="L71">
        <v>-38.92</v>
      </c>
    </row>
    <row r="72" spans="1:12">
      <c r="A72" s="1">
        <v>45453</v>
      </c>
      <c r="B72" t="s">
        <v>12</v>
      </c>
      <c r="C72">
        <v>364.49</v>
      </c>
      <c r="D72">
        <v>90.75</v>
      </c>
      <c r="E72">
        <v>53.07</v>
      </c>
      <c r="F72">
        <v>48.48</v>
      </c>
      <c r="G72">
        <v>140.03</v>
      </c>
      <c r="H72">
        <v>137.76</v>
      </c>
      <c r="I72">
        <v>3.7</v>
      </c>
      <c r="J72">
        <v>17.899999999999999</v>
      </c>
      <c r="K72">
        <v>491.69</v>
      </c>
      <c r="L72">
        <v>-127.2</v>
      </c>
    </row>
    <row r="73" spans="1:12">
      <c r="A73" s="1">
        <v>45454</v>
      </c>
      <c r="B73" t="s">
        <v>12</v>
      </c>
      <c r="C73">
        <v>256.45999999999998</v>
      </c>
      <c r="D73">
        <v>66.48</v>
      </c>
      <c r="E73">
        <v>40.28</v>
      </c>
      <c r="F73">
        <v>88.53</v>
      </c>
      <c r="G73">
        <v>118.17</v>
      </c>
      <c r="H73">
        <v>143.43</v>
      </c>
      <c r="I73">
        <v>26.64</v>
      </c>
      <c r="J73">
        <v>3.47</v>
      </c>
      <c r="K73">
        <v>486.99</v>
      </c>
      <c r="L73">
        <v>-230.53</v>
      </c>
    </row>
    <row r="74" spans="1:12">
      <c r="A74" s="1">
        <v>45455</v>
      </c>
      <c r="B74" t="s">
        <v>13</v>
      </c>
      <c r="C74">
        <v>997.12</v>
      </c>
      <c r="D74">
        <v>18.850000000000001</v>
      </c>
      <c r="E74">
        <v>30.43</v>
      </c>
      <c r="F74">
        <v>114.31</v>
      </c>
      <c r="G74">
        <v>101.77</v>
      </c>
      <c r="H74">
        <v>155.46</v>
      </c>
      <c r="I74">
        <v>27.7</v>
      </c>
      <c r="J74">
        <v>74.06</v>
      </c>
      <c r="K74">
        <v>522.59</v>
      </c>
      <c r="L74">
        <v>474.54</v>
      </c>
    </row>
    <row r="75" spans="1:12">
      <c r="A75" s="1">
        <v>45456</v>
      </c>
      <c r="B75" t="s">
        <v>13</v>
      </c>
      <c r="C75">
        <v>986.37</v>
      </c>
      <c r="D75">
        <v>16.239999999999998</v>
      </c>
      <c r="E75">
        <v>50.81</v>
      </c>
      <c r="F75">
        <v>54.5</v>
      </c>
      <c r="G75">
        <v>111.61</v>
      </c>
      <c r="H75">
        <v>140.04</v>
      </c>
      <c r="I75">
        <v>22.64</v>
      </c>
      <c r="J75">
        <v>32.840000000000003</v>
      </c>
      <c r="K75">
        <v>428.68</v>
      </c>
      <c r="L75">
        <v>557.69000000000005</v>
      </c>
    </row>
    <row r="76" spans="1:12">
      <c r="A76" s="1">
        <v>45457</v>
      </c>
      <c r="B76" t="s">
        <v>13</v>
      </c>
      <c r="C76">
        <v>1045.8</v>
      </c>
      <c r="D76">
        <v>16.670000000000002</v>
      </c>
      <c r="E76">
        <v>80.75</v>
      </c>
      <c r="F76">
        <v>64.7</v>
      </c>
      <c r="G76">
        <v>89.6</v>
      </c>
      <c r="H76">
        <v>135.74</v>
      </c>
      <c r="I76">
        <v>18</v>
      </c>
      <c r="J76">
        <v>45.66</v>
      </c>
      <c r="K76">
        <v>451.13</v>
      </c>
      <c r="L76">
        <v>594.66999999999996</v>
      </c>
    </row>
    <row r="77" spans="1:12">
      <c r="A77" s="1">
        <v>45458</v>
      </c>
      <c r="B77" t="s">
        <v>13</v>
      </c>
      <c r="C77">
        <v>1101.4000000000001</v>
      </c>
      <c r="D77">
        <v>10.39</v>
      </c>
      <c r="E77">
        <v>77.39</v>
      </c>
      <c r="F77">
        <v>120.67</v>
      </c>
      <c r="G77">
        <v>103.27</v>
      </c>
      <c r="H77">
        <v>235.69</v>
      </c>
      <c r="I77">
        <v>15.04</v>
      </c>
      <c r="J77">
        <v>21.33</v>
      </c>
      <c r="K77">
        <v>583.77</v>
      </c>
      <c r="L77">
        <v>517.62</v>
      </c>
    </row>
    <row r="78" spans="1:12">
      <c r="A78" s="1">
        <v>45459</v>
      </c>
      <c r="B78" t="s">
        <v>13</v>
      </c>
      <c r="C78">
        <v>594.26</v>
      </c>
      <c r="D78">
        <v>22.48</v>
      </c>
      <c r="E78">
        <v>73.09</v>
      </c>
      <c r="F78">
        <v>78.33</v>
      </c>
      <c r="G78">
        <v>100.6</v>
      </c>
      <c r="H78">
        <v>130.61000000000001</v>
      </c>
      <c r="I78">
        <v>44.01</v>
      </c>
      <c r="J78">
        <v>41.94</v>
      </c>
      <c r="K78">
        <v>491.06</v>
      </c>
      <c r="L78">
        <v>103.2</v>
      </c>
    </row>
    <row r="79" spans="1:12">
      <c r="A79" s="1">
        <v>45460</v>
      </c>
      <c r="B79" t="s">
        <v>13</v>
      </c>
      <c r="C79">
        <v>971.88</v>
      </c>
      <c r="D79">
        <v>18.63</v>
      </c>
      <c r="E79">
        <v>69.62</v>
      </c>
      <c r="F79">
        <v>86.72</v>
      </c>
      <c r="G79">
        <v>79.19</v>
      </c>
      <c r="H79">
        <v>186.5</v>
      </c>
      <c r="I79">
        <v>38.94</v>
      </c>
      <c r="J79">
        <v>60.18</v>
      </c>
      <c r="K79">
        <v>539.78</v>
      </c>
      <c r="L79">
        <v>432.1</v>
      </c>
    </row>
    <row r="80" spans="1:12">
      <c r="A80" s="1">
        <v>45461</v>
      </c>
      <c r="B80" t="s">
        <v>12</v>
      </c>
      <c r="C80">
        <v>429.66</v>
      </c>
      <c r="D80">
        <v>64.89</v>
      </c>
      <c r="E80">
        <v>25.16</v>
      </c>
      <c r="F80">
        <v>52.48</v>
      </c>
      <c r="G80">
        <v>111.39</v>
      </c>
      <c r="H80">
        <v>182.83</v>
      </c>
      <c r="I80">
        <v>6.46</v>
      </c>
      <c r="J80">
        <v>48.35</v>
      </c>
      <c r="K80">
        <v>491.56</v>
      </c>
      <c r="L80">
        <v>-61.9</v>
      </c>
    </row>
    <row r="81" spans="1:12">
      <c r="A81" s="1">
        <v>45462</v>
      </c>
      <c r="B81" t="s">
        <v>12</v>
      </c>
      <c r="C81">
        <v>342.1</v>
      </c>
      <c r="D81">
        <v>65.73</v>
      </c>
      <c r="E81">
        <v>24.82</v>
      </c>
      <c r="F81">
        <v>21.9</v>
      </c>
      <c r="G81">
        <v>130.58000000000001</v>
      </c>
      <c r="H81">
        <v>152.19999999999999</v>
      </c>
      <c r="I81">
        <v>9.68</v>
      </c>
      <c r="J81">
        <v>14.46</v>
      </c>
      <c r="K81">
        <v>419.37</v>
      </c>
      <c r="L81">
        <v>-77.27</v>
      </c>
    </row>
    <row r="82" spans="1:12">
      <c r="A82" s="1">
        <v>45463</v>
      </c>
      <c r="B82" t="s">
        <v>13</v>
      </c>
      <c r="C82">
        <v>882.84</v>
      </c>
      <c r="D82">
        <v>23.35</v>
      </c>
      <c r="E82">
        <v>54.81</v>
      </c>
      <c r="F82">
        <v>34.909999999999997</v>
      </c>
      <c r="G82">
        <v>90.09</v>
      </c>
      <c r="H82">
        <v>160.44999999999999</v>
      </c>
      <c r="I82">
        <v>-2.27</v>
      </c>
      <c r="J82">
        <v>39.19</v>
      </c>
      <c r="K82">
        <v>400.51</v>
      </c>
      <c r="L82">
        <v>482.33</v>
      </c>
    </row>
    <row r="83" spans="1:12">
      <c r="A83" s="1">
        <v>45464</v>
      </c>
      <c r="B83" t="s">
        <v>13</v>
      </c>
      <c r="C83">
        <v>903.81</v>
      </c>
      <c r="D83">
        <v>18.48</v>
      </c>
      <c r="E83">
        <v>96.98</v>
      </c>
      <c r="F83">
        <v>113.8</v>
      </c>
      <c r="G83">
        <v>89.62</v>
      </c>
      <c r="H83">
        <v>131.27000000000001</v>
      </c>
      <c r="I83">
        <v>45.16</v>
      </c>
      <c r="J83">
        <v>40.89</v>
      </c>
      <c r="K83">
        <v>536.20000000000005</v>
      </c>
      <c r="L83">
        <v>367.61</v>
      </c>
    </row>
    <row r="84" spans="1:12">
      <c r="A84" s="1">
        <v>45465</v>
      </c>
      <c r="B84" t="s">
        <v>13</v>
      </c>
      <c r="C84">
        <v>952.79</v>
      </c>
      <c r="D84">
        <v>14.88</v>
      </c>
      <c r="E84">
        <v>63.96</v>
      </c>
      <c r="F84">
        <v>75.67</v>
      </c>
      <c r="G84">
        <v>83.53</v>
      </c>
      <c r="H84">
        <v>150.86000000000001</v>
      </c>
      <c r="I84">
        <v>21.71</v>
      </c>
      <c r="J84">
        <v>31.85</v>
      </c>
      <c r="K84">
        <v>442.45</v>
      </c>
      <c r="L84">
        <v>510.34</v>
      </c>
    </row>
    <row r="85" spans="1:12">
      <c r="A85" s="1">
        <v>45466</v>
      </c>
      <c r="B85" t="s">
        <v>13</v>
      </c>
      <c r="C85">
        <v>807.43</v>
      </c>
      <c r="D85">
        <v>15.53</v>
      </c>
      <c r="E85">
        <v>54.9</v>
      </c>
      <c r="F85">
        <v>125.12</v>
      </c>
      <c r="G85">
        <v>41.98</v>
      </c>
      <c r="H85">
        <v>208.2</v>
      </c>
      <c r="I85">
        <v>33.21</v>
      </c>
      <c r="J85">
        <v>8.9</v>
      </c>
      <c r="K85">
        <v>487.85</v>
      </c>
      <c r="L85">
        <v>319.58</v>
      </c>
    </row>
    <row r="86" spans="1:12">
      <c r="A86" s="1">
        <v>45467</v>
      </c>
      <c r="B86" t="s">
        <v>13</v>
      </c>
      <c r="C86">
        <v>881.46</v>
      </c>
      <c r="D86">
        <v>13.14</v>
      </c>
      <c r="E86">
        <v>31.85</v>
      </c>
      <c r="F86">
        <v>56.67</v>
      </c>
      <c r="G86">
        <v>72.790000000000006</v>
      </c>
      <c r="H86">
        <v>231.33</v>
      </c>
      <c r="I86">
        <v>30.42</v>
      </c>
      <c r="J86">
        <v>59.07</v>
      </c>
      <c r="K86">
        <v>495.27</v>
      </c>
      <c r="L86">
        <v>386.19</v>
      </c>
    </row>
    <row r="87" spans="1:12">
      <c r="A87" s="1">
        <v>45468</v>
      </c>
      <c r="B87" t="s">
        <v>12</v>
      </c>
      <c r="C87">
        <v>386.08</v>
      </c>
      <c r="D87">
        <v>58.71</v>
      </c>
      <c r="E87">
        <v>32.130000000000003</v>
      </c>
      <c r="F87">
        <v>64.790000000000006</v>
      </c>
      <c r="G87">
        <v>79.45</v>
      </c>
      <c r="H87">
        <v>171.39</v>
      </c>
      <c r="I87">
        <v>18.079999999999998</v>
      </c>
      <c r="J87">
        <v>25.5</v>
      </c>
      <c r="K87">
        <v>450.05</v>
      </c>
      <c r="L87">
        <v>-63.96</v>
      </c>
    </row>
    <row r="88" spans="1:12">
      <c r="A88" s="1">
        <v>45469</v>
      </c>
      <c r="B88" t="s">
        <v>13</v>
      </c>
      <c r="C88">
        <v>1092.19</v>
      </c>
      <c r="D88">
        <v>17.22</v>
      </c>
      <c r="E88">
        <v>52.78</v>
      </c>
      <c r="F88">
        <v>114.78</v>
      </c>
      <c r="G88">
        <v>73.38</v>
      </c>
      <c r="H88">
        <v>191.56</v>
      </c>
      <c r="I88">
        <v>27.34</v>
      </c>
      <c r="J88">
        <v>35.36</v>
      </c>
      <c r="K88">
        <v>512.41</v>
      </c>
      <c r="L88">
        <v>579.78</v>
      </c>
    </row>
    <row r="89" spans="1:12">
      <c r="A89" s="1">
        <v>45470</v>
      </c>
      <c r="B89" t="s">
        <v>12</v>
      </c>
      <c r="C89">
        <v>366.31</v>
      </c>
      <c r="D89">
        <v>57.49</v>
      </c>
      <c r="E89">
        <v>53.86</v>
      </c>
      <c r="F89">
        <v>51.3</v>
      </c>
      <c r="G89">
        <v>96.93</v>
      </c>
      <c r="H89">
        <v>181.47</v>
      </c>
      <c r="I89">
        <v>14.37</v>
      </c>
      <c r="J89">
        <v>13.1</v>
      </c>
      <c r="K89">
        <v>468.52</v>
      </c>
      <c r="L89">
        <v>-102.21</v>
      </c>
    </row>
    <row r="90" spans="1:12">
      <c r="A90" s="1">
        <v>45471</v>
      </c>
      <c r="B90" t="s">
        <v>12</v>
      </c>
      <c r="C90">
        <v>272.17</v>
      </c>
      <c r="D90">
        <v>76.06</v>
      </c>
      <c r="E90">
        <v>20.79</v>
      </c>
      <c r="F90">
        <v>90.1</v>
      </c>
      <c r="G90">
        <v>57.95</v>
      </c>
      <c r="H90">
        <v>200.89</v>
      </c>
      <c r="I90">
        <v>21.69</v>
      </c>
      <c r="J90">
        <v>28.84</v>
      </c>
      <c r="K90">
        <v>496.32</v>
      </c>
      <c r="L90">
        <v>-224.15</v>
      </c>
    </row>
    <row r="91" spans="1:12">
      <c r="A91" s="1">
        <v>45472</v>
      </c>
      <c r="B91" t="s">
        <v>13</v>
      </c>
      <c r="C91">
        <v>841.02</v>
      </c>
      <c r="D91">
        <v>17</v>
      </c>
      <c r="E91">
        <v>59.25</v>
      </c>
      <c r="F91">
        <v>113.1</v>
      </c>
      <c r="G91">
        <v>97.28</v>
      </c>
      <c r="H91">
        <v>175.26</v>
      </c>
      <c r="I91">
        <v>18.73</v>
      </c>
      <c r="J91">
        <v>39.15</v>
      </c>
      <c r="K91">
        <v>519.76</v>
      </c>
      <c r="L91">
        <v>321.26</v>
      </c>
    </row>
    <row r="92" spans="1:12">
      <c r="A92" s="1">
        <v>45473</v>
      </c>
      <c r="B92" t="s">
        <v>12</v>
      </c>
      <c r="C92">
        <v>365.39</v>
      </c>
      <c r="D92">
        <v>52.9</v>
      </c>
      <c r="E92">
        <v>19.78</v>
      </c>
      <c r="F92">
        <v>69.87</v>
      </c>
      <c r="G92">
        <v>114.27</v>
      </c>
      <c r="H92">
        <v>144.47999999999999</v>
      </c>
      <c r="I92">
        <v>20.149999999999999</v>
      </c>
      <c r="J92">
        <v>34.17</v>
      </c>
      <c r="K92">
        <v>455.61</v>
      </c>
      <c r="L92">
        <v>-90.22</v>
      </c>
    </row>
    <row r="93" spans="1:12">
      <c r="A93" s="1">
        <v>45474</v>
      </c>
      <c r="B93" t="s">
        <v>13</v>
      </c>
      <c r="C93">
        <v>842.05</v>
      </c>
      <c r="D93">
        <v>11.11</v>
      </c>
      <c r="E93">
        <v>63.92</v>
      </c>
      <c r="F93">
        <v>50.65</v>
      </c>
      <c r="G93">
        <v>103.17</v>
      </c>
      <c r="H93">
        <v>110.41</v>
      </c>
      <c r="I93">
        <v>31.26</v>
      </c>
      <c r="J93">
        <v>47.09</v>
      </c>
      <c r="K93">
        <v>417.6</v>
      </c>
      <c r="L93">
        <v>424.45</v>
      </c>
    </row>
    <row r="94" spans="1:12">
      <c r="A94" s="1">
        <v>45475</v>
      </c>
      <c r="B94" t="s">
        <v>12</v>
      </c>
      <c r="C94">
        <v>362.8</v>
      </c>
      <c r="D94">
        <v>79.83</v>
      </c>
      <c r="E94">
        <v>64.98</v>
      </c>
      <c r="F94">
        <v>75.290000000000006</v>
      </c>
      <c r="G94">
        <v>63.98</v>
      </c>
      <c r="H94">
        <v>111.61</v>
      </c>
      <c r="I94">
        <v>15</v>
      </c>
      <c r="J94">
        <v>30.31</v>
      </c>
      <c r="K94">
        <v>441</v>
      </c>
      <c r="L94">
        <v>-78.2</v>
      </c>
    </row>
    <row r="95" spans="1:12">
      <c r="A95" s="1">
        <v>45476</v>
      </c>
      <c r="B95" t="s">
        <v>12</v>
      </c>
      <c r="C95">
        <v>375.88</v>
      </c>
      <c r="D95">
        <v>62.74</v>
      </c>
      <c r="E95">
        <v>42.8</v>
      </c>
      <c r="F95">
        <v>39.89</v>
      </c>
      <c r="G95">
        <v>94.71</v>
      </c>
      <c r="H95">
        <v>107.8</v>
      </c>
      <c r="I95">
        <v>12.61</v>
      </c>
      <c r="J95">
        <v>13.78</v>
      </c>
      <c r="K95">
        <v>374.34</v>
      </c>
      <c r="L95">
        <v>1.54</v>
      </c>
    </row>
    <row r="96" spans="1:12">
      <c r="A96" s="1">
        <v>45477</v>
      </c>
      <c r="B96" t="s">
        <v>12</v>
      </c>
      <c r="C96">
        <v>301.20999999999998</v>
      </c>
      <c r="D96">
        <v>80.540000000000006</v>
      </c>
      <c r="E96">
        <v>25.76</v>
      </c>
      <c r="F96">
        <v>107.65</v>
      </c>
      <c r="G96">
        <v>122.33</v>
      </c>
      <c r="H96">
        <v>155.55000000000001</v>
      </c>
      <c r="I96">
        <v>13.13</v>
      </c>
      <c r="J96">
        <v>38.4</v>
      </c>
      <c r="K96">
        <v>543.36</v>
      </c>
      <c r="L96">
        <v>-242.15</v>
      </c>
    </row>
    <row r="97" spans="1:12">
      <c r="A97" s="1">
        <v>45478</v>
      </c>
      <c r="B97" t="s">
        <v>12</v>
      </c>
      <c r="C97">
        <v>321.22000000000003</v>
      </c>
      <c r="D97">
        <v>71.22</v>
      </c>
      <c r="E97">
        <v>78.400000000000006</v>
      </c>
      <c r="F97">
        <v>53.08</v>
      </c>
      <c r="G97">
        <v>138.72999999999999</v>
      </c>
      <c r="H97">
        <v>128.9</v>
      </c>
      <c r="I97">
        <v>19.72</v>
      </c>
      <c r="J97">
        <v>51.25</v>
      </c>
      <c r="K97">
        <v>541.30999999999995</v>
      </c>
      <c r="L97">
        <v>-220.09</v>
      </c>
    </row>
    <row r="98" spans="1:12">
      <c r="A98" s="1">
        <v>45479</v>
      </c>
      <c r="B98" t="s">
        <v>12</v>
      </c>
      <c r="C98">
        <v>318.64999999999998</v>
      </c>
      <c r="D98">
        <v>88.12</v>
      </c>
      <c r="E98">
        <v>50.62</v>
      </c>
      <c r="F98">
        <v>43.75</v>
      </c>
      <c r="G98">
        <v>125.81</v>
      </c>
      <c r="H98">
        <v>179.18</v>
      </c>
      <c r="I98">
        <v>24.97</v>
      </c>
      <c r="J98">
        <v>11.16</v>
      </c>
      <c r="K98">
        <v>523.61</v>
      </c>
      <c r="L98">
        <v>-204.96</v>
      </c>
    </row>
    <row r="99" spans="1:12">
      <c r="A99" s="1">
        <v>45480</v>
      </c>
      <c r="B99" t="s">
        <v>13</v>
      </c>
      <c r="C99">
        <v>804.57</v>
      </c>
      <c r="D99">
        <v>13.76</v>
      </c>
      <c r="E99">
        <v>58.51</v>
      </c>
      <c r="F99">
        <v>98.62</v>
      </c>
      <c r="G99">
        <v>98.55</v>
      </c>
      <c r="H99">
        <v>123.26</v>
      </c>
      <c r="I99">
        <v>25.42</v>
      </c>
      <c r="J99">
        <v>49.16</v>
      </c>
      <c r="K99">
        <v>467.29</v>
      </c>
      <c r="L99">
        <v>337.28</v>
      </c>
    </row>
    <row r="100" spans="1:12">
      <c r="A100" s="1">
        <v>45481</v>
      </c>
      <c r="B100" t="s">
        <v>13</v>
      </c>
      <c r="C100">
        <v>1061.96</v>
      </c>
      <c r="D100">
        <v>20.399999999999999</v>
      </c>
      <c r="E100">
        <v>76.680000000000007</v>
      </c>
      <c r="F100">
        <v>93.78</v>
      </c>
      <c r="G100">
        <v>93.6</v>
      </c>
      <c r="H100">
        <v>111.87</v>
      </c>
      <c r="I100">
        <v>25.87</v>
      </c>
      <c r="J100">
        <v>43.12</v>
      </c>
      <c r="K100">
        <v>465.3</v>
      </c>
      <c r="L100">
        <v>596.66</v>
      </c>
    </row>
    <row r="101" spans="1:12">
      <c r="A101" s="1">
        <v>45482</v>
      </c>
      <c r="B101" t="s">
        <v>12</v>
      </c>
      <c r="C101">
        <v>363.58</v>
      </c>
      <c r="D101">
        <v>57.23</v>
      </c>
      <c r="E101">
        <v>23.78</v>
      </c>
      <c r="F101">
        <v>76.06</v>
      </c>
      <c r="G101">
        <v>109.01</v>
      </c>
      <c r="H101">
        <v>170.45</v>
      </c>
      <c r="I101">
        <v>20.23</v>
      </c>
      <c r="J101">
        <v>30.36</v>
      </c>
      <c r="K101">
        <v>487.12</v>
      </c>
      <c r="L101">
        <v>-123.54</v>
      </c>
    </row>
    <row r="102" spans="1:12">
      <c r="A102" s="1">
        <v>45483</v>
      </c>
      <c r="B102" t="s">
        <v>13</v>
      </c>
      <c r="C102">
        <v>1137.6600000000001</v>
      </c>
      <c r="D102">
        <v>12.42</v>
      </c>
      <c r="E102">
        <v>61.92</v>
      </c>
      <c r="F102">
        <v>66.13</v>
      </c>
      <c r="G102">
        <v>86.31</v>
      </c>
      <c r="H102">
        <v>159.18</v>
      </c>
      <c r="I102">
        <v>24</v>
      </c>
      <c r="J102">
        <v>32.82</v>
      </c>
      <c r="K102">
        <v>442.78</v>
      </c>
      <c r="L102">
        <v>694.88</v>
      </c>
    </row>
    <row r="103" spans="1:12">
      <c r="A103" s="1">
        <v>45484</v>
      </c>
      <c r="B103" t="s">
        <v>13</v>
      </c>
      <c r="C103">
        <v>1201.1500000000001</v>
      </c>
      <c r="D103">
        <v>10.53</v>
      </c>
      <c r="E103">
        <v>56.26</v>
      </c>
      <c r="F103">
        <v>66.81</v>
      </c>
      <c r="G103">
        <v>123.94</v>
      </c>
      <c r="H103">
        <v>176.88</v>
      </c>
      <c r="I103">
        <v>31.29</v>
      </c>
      <c r="J103">
        <v>17.72</v>
      </c>
      <c r="K103">
        <v>483.42</v>
      </c>
      <c r="L103">
        <v>717.73</v>
      </c>
    </row>
    <row r="104" spans="1:12">
      <c r="A104" s="1">
        <v>45485</v>
      </c>
      <c r="B104" t="s">
        <v>12</v>
      </c>
      <c r="C104">
        <v>363.35</v>
      </c>
      <c r="D104">
        <v>78.900000000000006</v>
      </c>
      <c r="E104">
        <v>41.23</v>
      </c>
      <c r="F104">
        <v>76.31</v>
      </c>
      <c r="G104">
        <v>97.07</v>
      </c>
      <c r="H104">
        <v>192.28</v>
      </c>
      <c r="I104">
        <v>38.39</v>
      </c>
      <c r="J104">
        <v>25.65</v>
      </c>
      <c r="K104">
        <v>549.83000000000004</v>
      </c>
      <c r="L104">
        <v>-186.47</v>
      </c>
    </row>
    <row r="105" spans="1:12">
      <c r="A105" s="1">
        <v>45486</v>
      </c>
      <c r="B105" t="s">
        <v>13</v>
      </c>
      <c r="C105">
        <v>860.9</v>
      </c>
      <c r="D105">
        <v>22.27</v>
      </c>
      <c r="E105">
        <v>91.59</v>
      </c>
      <c r="F105">
        <v>64.31</v>
      </c>
      <c r="G105">
        <v>86.6</v>
      </c>
      <c r="H105">
        <v>160.13999999999999</v>
      </c>
      <c r="I105">
        <v>9.9</v>
      </c>
      <c r="J105">
        <v>26.22</v>
      </c>
      <c r="K105">
        <v>461.03</v>
      </c>
      <c r="L105">
        <v>399.87</v>
      </c>
    </row>
    <row r="106" spans="1:12">
      <c r="A106" s="1">
        <v>45487</v>
      </c>
      <c r="B106" t="s">
        <v>13</v>
      </c>
      <c r="C106">
        <v>749.17</v>
      </c>
      <c r="D106">
        <v>11.16</v>
      </c>
      <c r="E106">
        <v>59.31</v>
      </c>
      <c r="F106">
        <v>87.03</v>
      </c>
      <c r="G106">
        <v>126.01</v>
      </c>
      <c r="H106">
        <v>135.06</v>
      </c>
      <c r="I106">
        <v>30.86</v>
      </c>
      <c r="J106">
        <v>36.79</v>
      </c>
      <c r="K106">
        <v>486.21</v>
      </c>
      <c r="L106">
        <v>262.95999999999998</v>
      </c>
    </row>
    <row r="107" spans="1:12">
      <c r="A107" s="1">
        <v>45488</v>
      </c>
      <c r="B107" t="s">
        <v>13</v>
      </c>
      <c r="C107">
        <v>940.11</v>
      </c>
      <c r="D107">
        <v>18.37</v>
      </c>
      <c r="E107">
        <v>37.549999999999997</v>
      </c>
      <c r="F107">
        <v>91.47</v>
      </c>
      <c r="G107">
        <v>98.33</v>
      </c>
      <c r="H107">
        <v>187.24</v>
      </c>
      <c r="I107">
        <v>24.6</v>
      </c>
      <c r="J107">
        <v>76.83</v>
      </c>
      <c r="K107">
        <v>534.39</v>
      </c>
      <c r="L107">
        <v>405.72</v>
      </c>
    </row>
    <row r="108" spans="1:12">
      <c r="A108" s="1">
        <v>45489</v>
      </c>
      <c r="B108" t="s">
        <v>13</v>
      </c>
      <c r="C108">
        <v>822.45</v>
      </c>
      <c r="D108">
        <v>12.35</v>
      </c>
      <c r="E108">
        <v>47.54</v>
      </c>
      <c r="F108">
        <v>63.34</v>
      </c>
      <c r="G108">
        <v>82.25</v>
      </c>
      <c r="H108">
        <v>211.62</v>
      </c>
      <c r="I108">
        <v>34.78</v>
      </c>
      <c r="J108">
        <v>31.44</v>
      </c>
      <c r="K108">
        <v>483.31</v>
      </c>
      <c r="L108">
        <v>339.14</v>
      </c>
    </row>
    <row r="109" spans="1:12">
      <c r="A109" s="1">
        <v>45490</v>
      </c>
      <c r="B109" t="s">
        <v>12</v>
      </c>
      <c r="C109">
        <v>308.38</v>
      </c>
      <c r="D109">
        <v>74.709999999999994</v>
      </c>
      <c r="E109">
        <v>31.72</v>
      </c>
      <c r="F109">
        <v>67.66</v>
      </c>
      <c r="G109">
        <v>115.07</v>
      </c>
      <c r="H109">
        <v>104.53</v>
      </c>
      <c r="I109">
        <v>32.380000000000003</v>
      </c>
      <c r="J109">
        <v>51.55</v>
      </c>
      <c r="K109">
        <v>477.62</v>
      </c>
      <c r="L109">
        <v>-169.24</v>
      </c>
    </row>
    <row r="110" spans="1:12">
      <c r="A110" s="1">
        <v>45491</v>
      </c>
      <c r="B110" t="s">
        <v>13</v>
      </c>
      <c r="C110">
        <v>827.44</v>
      </c>
      <c r="D110">
        <v>13.06</v>
      </c>
      <c r="E110">
        <v>65.72</v>
      </c>
      <c r="F110">
        <v>90.03</v>
      </c>
      <c r="G110">
        <v>108.17</v>
      </c>
      <c r="H110">
        <v>240.36</v>
      </c>
      <c r="I110">
        <v>20.41</v>
      </c>
      <c r="J110">
        <v>28.03</v>
      </c>
      <c r="K110">
        <v>565.77</v>
      </c>
      <c r="L110">
        <v>261.67</v>
      </c>
    </row>
    <row r="111" spans="1:12">
      <c r="A111" s="1">
        <v>45492</v>
      </c>
      <c r="B111" t="s">
        <v>12</v>
      </c>
      <c r="C111">
        <v>281.02999999999997</v>
      </c>
      <c r="D111">
        <v>62.69</v>
      </c>
      <c r="E111">
        <v>39.5</v>
      </c>
      <c r="F111">
        <v>90.89</v>
      </c>
      <c r="G111">
        <v>97.06</v>
      </c>
      <c r="H111">
        <v>156.71</v>
      </c>
      <c r="I111">
        <v>19.87</v>
      </c>
      <c r="J111">
        <v>44.26</v>
      </c>
      <c r="K111">
        <v>510.99</v>
      </c>
      <c r="L111">
        <v>-229.95</v>
      </c>
    </row>
    <row r="112" spans="1:12">
      <c r="A112" s="1">
        <v>45493</v>
      </c>
      <c r="B112" t="s">
        <v>12</v>
      </c>
      <c r="C112">
        <v>476.35</v>
      </c>
      <c r="D112">
        <v>64.69</v>
      </c>
      <c r="E112">
        <v>32.659999999999997</v>
      </c>
      <c r="F112">
        <v>75.88</v>
      </c>
      <c r="G112">
        <v>127.05</v>
      </c>
      <c r="H112">
        <v>205.4</v>
      </c>
      <c r="I112">
        <v>24.67</v>
      </c>
      <c r="J112">
        <v>25.69</v>
      </c>
      <c r="K112">
        <v>556.04</v>
      </c>
      <c r="L112">
        <v>-79.69</v>
      </c>
    </row>
    <row r="113" spans="1:12">
      <c r="A113" s="1">
        <v>45494</v>
      </c>
      <c r="B113" t="s">
        <v>12</v>
      </c>
      <c r="C113">
        <v>379.53</v>
      </c>
      <c r="D113">
        <v>81.09</v>
      </c>
      <c r="E113">
        <v>52.31</v>
      </c>
      <c r="F113">
        <v>65.150000000000006</v>
      </c>
      <c r="G113">
        <v>136.66999999999999</v>
      </c>
      <c r="H113">
        <v>185.08</v>
      </c>
      <c r="I113">
        <v>31.06</v>
      </c>
      <c r="J113">
        <v>37.78</v>
      </c>
      <c r="K113">
        <v>589.13</v>
      </c>
      <c r="L113">
        <v>-209.59</v>
      </c>
    </row>
    <row r="114" spans="1:12">
      <c r="A114" s="1">
        <v>45495</v>
      </c>
      <c r="B114" t="s">
        <v>12</v>
      </c>
      <c r="C114">
        <v>341.64</v>
      </c>
      <c r="D114">
        <v>71.47</v>
      </c>
      <c r="E114">
        <v>58.1</v>
      </c>
      <c r="F114">
        <v>38.659999999999997</v>
      </c>
      <c r="G114">
        <v>119.22</v>
      </c>
      <c r="H114">
        <v>138.19999999999999</v>
      </c>
      <c r="I114">
        <v>20.23</v>
      </c>
      <c r="J114">
        <v>45.34</v>
      </c>
      <c r="K114">
        <v>491.21</v>
      </c>
      <c r="L114">
        <v>-149.57</v>
      </c>
    </row>
    <row r="115" spans="1:12">
      <c r="A115" s="1">
        <v>45496</v>
      </c>
      <c r="B115" t="s">
        <v>12</v>
      </c>
      <c r="C115">
        <v>359.55</v>
      </c>
      <c r="D115">
        <v>70.459999999999994</v>
      </c>
      <c r="E115">
        <v>19.600000000000001</v>
      </c>
      <c r="F115">
        <v>69.930000000000007</v>
      </c>
      <c r="G115">
        <v>126.14</v>
      </c>
      <c r="H115">
        <v>214.9</v>
      </c>
      <c r="I115">
        <v>17.54</v>
      </c>
      <c r="J115">
        <v>32.630000000000003</v>
      </c>
      <c r="K115">
        <v>551.19000000000005</v>
      </c>
      <c r="L115">
        <v>-191.64</v>
      </c>
    </row>
    <row r="116" spans="1:12">
      <c r="A116" s="1">
        <v>45497</v>
      </c>
      <c r="B116" t="s">
        <v>13</v>
      </c>
      <c r="C116">
        <v>999.88</v>
      </c>
      <c r="D116">
        <v>22.89</v>
      </c>
      <c r="E116">
        <v>58.09</v>
      </c>
      <c r="F116">
        <v>88.37</v>
      </c>
      <c r="G116">
        <v>107.16</v>
      </c>
      <c r="H116">
        <v>176.53</v>
      </c>
      <c r="I116">
        <v>17.98</v>
      </c>
      <c r="J116">
        <v>42.91</v>
      </c>
      <c r="K116">
        <v>513.92999999999995</v>
      </c>
      <c r="L116">
        <v>485.94</v>
      </c>
    </row>
    <row r="117" spans="1:12">
      <c r="A117" s="1">
        <v>45498</v>
      </c>
      <c r="B117" t="s">
        <v>13</v>
      </c>
      <c r="C117">
        <v>1164.73</v>
      </c>
      <c r="D117">
        <v>9.8699999999999992</v>
      </c>
      <c r="E117">
        <v>62.66</v>
      </c>
      <c r="F117">
        <v>59</v>
      </c>
      <c r="G117">
        <v>118.9</v>
      </c>
      <c r="H117">
        <v>116.69</v>
      </c>
      <c r="I117">
        <v>16.97</v>
      </c>
      <c r="J117">
        <v>45.66</v>
      </c>
      <c r="K117">
        <v>429.74</v>
      </c>
      <c r="L117">
        <v>734.99</v>
      </c>
    </row>
    <row r="118" spans="1:12">
      <c r="A118" s="1">
        <v>45499</v>
      </c>
      <c r="B118" t="s">
        <v>12</v>
      </c>
      <c r="C118">
        <v>428.28</v>
      </c>
      <c r="D118">
        <v>69.34</v>
      </c>
      <c r="E118">
        <v>31.67</v>
      </c>
      <c r="F118">
        <v>92.62</v>
      </c>
      <c r="G118">
        <v>73.8</v>
      </c>
      <c r="H118">
        <v>84.04</v>
      </c>
      <c r="I118">
        <v>23.52</v>
      </c>
      <c r="J118">
        <v>23.98</v>
      </c>
      <c r="K118">
        <v>398.97</v>
      </c>
      <c r="L118">
        <v>29.31</v>
      </c>
    </row>
    <row r="119" spans="1:12">
      <c r="A119" s="1">
        <v>45500</v>
      </c>
      <c r="B119" t="s">
        <v>13</v>
      </c>
      <c r="C119">
        <v>745.75</v>
      </c>
      <c r="D119">
        <v>18.54</v>
      </c>
      <c r="E119">
        <v>64.88</v>
      </c>
      <c r="F119">
        <v>63.08</v>
      </c>
      <c r="G119">
        <v>69.39</v>
      </c>
      <c r="H119">
        <v>200.54</v>
      </c>
      <c r="I119">
        <v>27.85</v>
      </c>
      <c r="J119">
        <v>38.51</v>
      </c>
      <c r="K119">
        <v>482.79</v>
      </c>
      <c r="L119">
        <v>262.95999999999998</v>
      </c>
    </row>
    <row r="120" spans="1:12">
      <c r="A120" s="1">
        <v>45501</v>
      </c>
      <c r="B120" t="s">
        <v>12</v>
      </c>
      <c r="C120">
        <v>442.33</v>
      </c>
      <c r="D120">
        <v>59.3</v>
      </c>
      <c r="E120">
        <v>17.12</v>
      </c>
      <c r="F120">
        <v>41.16</v>
      </c>
      <c r="G120">
        <v>108.86</v>
      </c>
      <c r="H120">
        <v>157.30000000000001</v>
      </c>
      <c r="I120">
        <v>18.07</v>
      </c>
      <c r="J120">
        <v>34.22</v>
      </c>
      <c r="K120">
        <v>436.03</v>
      </c>
      <c r="L120">
        <v>6.3</v>
      </c>
    </row>
    <row r="121" spans="1:12">
      <c r="A121" s="1">
        <v>45502</v>
      </c>
      <c r="B121" t="s">
        <v>13</v>
      </c>
      <c r="C121">
        <v>699.69</v>
      </c>
      <c r="D121">
        <v>22.22</v>
      </c>
      <c r="E121">
        <v>58.36</v>
      </c>
      <c r="F121">
        <v>113.52</v>
      </c>
      <c r="G121">
        <v>101.85</v>
      </c>
      <c r="H121">
        <v>185.99</v>
      </c>
      <c r="I121">
        <v>27.13</v>
      </c>
      <c r="J121">
        <v>46.72</v>
      </c>
      <c r="K121">
        <v>555.78</v>
      </c>
      <c r="L121">
        <v>143.91</v>
      </c>
    </row>
    <row r="122" spans="1:12">
      <c r="A122" s="1">
        <v>45503</v>
      </c>
      <c r="B122" t="s">
        <v>12</v>
      </c>
      <c r="C122">
        <v>382.14</v>
      </c>
      <c r="D122">
        <v>83.29</v>
      </c>
      <c r="E122">
        <v>42.95</v>
      </c>
      <c r="F122">
        <v>69.180000000000007</v>
      </c>
      <c r="G122">
        <v>107.76</v>
      </c>
      <c r="H122">
        <v>193.2</v>
      </c>
      <c r="I122">
        <v>14.59</v>
      </c>
      <c r="J122">
        <v>51.61</v>
      </c>
      <c r="K122">
        <v>562.58000000000004</v>
      </c>
      <c r="L122">
        <v>-180.44</v>
      </c>
    </row>
    <row r="123" spans="1:12">
      <c r="A123" s="1">
        <v>45504</v>
      </c>
      <c r="B123" t="s">
        <v>13</v>
      </c>
      <c r="C123">
        <v>941.97</v>
      </c>
      <c r="D123">
        <v>7.85</v>
      </c>
      <c r="E123">
        <v>62.56</v>
      </c>
      <c r="F123">
        <v>59.57</v>
      </c>
      <c r="G123">
        <v>111.81</v>
      </c>
      <c r="H123">
        <v>147.16</v>
      </c>
      <c r="I123">
        <v>17.98</v>
      </c>
      <c r="J123">
        <v>11.66</v>
      </c>
      <c r="K123">
        <v>418.59</v>
      </c>
      <c r="L123">
        <v>523.38</v>
      </c>
    </row>
    <row r="124" spans="1:12">
      <c r="A124" s="1">
        <v>45505</v>
      </c>
      <c r="B124" t="s">
        <v>13</v>
      </c>
      <c r="C124">
        <v>859.54</v>
      </c>
      <c r="D124">
        <v>2.88</v>
      </c>
      <c r="E124">
        <v>28.32</v>
      </c>
      <c r="F124">
        <v>102.81</v>
      </c>
      <c r="G124">
        <v>110.72</v>
      </c>
      <c r="H124">
        <v>184.89</v>
      </c>
      <c r="I124">
        <v>13.3</v>
      </c>
      <c r="J124">
        <v>39.28</v>
      </c>
      <c r="K124">
        <v>482.2</v>
      </c>
      <c r="L124">
        <v>377.34</v>
      </c>
    </row>
    <row r="125" spans="1:12">
      <c r="A125" s="1">
        <v>45506</v>
      </c>
      <c r="B125" t="s">
        <v>13</v>
      </c>
      <c r="C125">
        <v>949.28</v>
      </c>
      <c r="D125">
        <v>9.2100000000000009</v>
      </c>
      <c r="E125">
        <v>90.07</v>
      </c>
      <c r="F125">
        <v>106.32</v>
      </c>
      <c r="G125">
        <v>90.58</v>
      </c>
      <c r="H125">
        <v>170.94</v>
      </c>
      <c r="I125">
        <v>23.88</v>
      </c>
      <c r="J125">
        <v>9.3699999999999992</v>
      </c>
      <c r="K125">
        <v>500.37</v>
      </c>
      <c r="L125">
        <v>448.91</v>
      </c>
    </row>
    <row r="126" spans="1:12">
      <c r="A126" s="1">
        <v>45507</v>
      </c>
      <c r="B126" t="s">
        <v>13</v>
      </c>
      <c r="C126">
        <v>900.56</v>
      </c>
      <c r="D126">
        <v>11.59</v>
      </c>
      <c r="E126">
        <v>39.97</v>
      </c>
      <c r="F126">
        <v>71.569999999999993</v>
      </c>
      <c r="G126">
        <v>130.94999999999999</v>
      </c>
      <c r="H126">
        <v>192.43</v>
      </c>
      <c r="I126">
        <v>16.86</v>
      </c>
      <c r="J126">
        <v>48.59</v>
      </c>
      <c r="K126">
        <v>511.96</v>
      </c>
      <c r="L126">
        <v>388.61</v>
      </c>
    </row>
    <row r="127" spans="1:12">
      <c r="A127" s="1">
        <v>45508</v>
      </c>
      <c r="B127" t="s">
        <v>12</v>
      </c>
      <c r="C127">
        <v>419.97</v>
      </c>
      <c r="D127">
        <v>79.25</v>
      </c>
      <c r="E127">
        <v>40.89</v>
      </c>
      <c r="F127">
        <v>42.06</v>
      </c>
      <c r="G127">
        <v>127.46</v>
      </c>
      <c r="H127">
        <v>161.80000000000001</v>
      </c>
      <c r="I127">
        <v>27.16</v>
      </c>
      <c r="J127">
        <v>37.619999999999997</v>
      </c>
      <c r="K127">
        <v>516.25</v>
      </c>
      <c r="L127">
        <v>-96.28</v>
      </c>
    </row>
    <row r="128" spans="1:12">
      <c r="A128" s="1">
        <v>45509</v>
      </c>
      <c r="B128" t="s">
        <v>13</v>
      </c>
      <c r="C128">
        <v>1159.9100000000001</v>
      </c>
      <c r="D128">
        <v>12.32</v>
      </c>
      <c r="E128">
        <v>86.35</v>
      </c>
      <c r="F128">
        <v>85.93</v>
      </c>
      <c r="G128">
        <v>136.51</v>
      </c>
      <c r="H128">
        <v>145.88</v>
      </c>
      <c r="I128">
        <v>37.619999999999997</v>
      </c>
      <c r="J128">
        <v>42.97</v>
      </c>
      <c r="K128">
        <v>547.58000000000004</v>
      </c>
      <c r="L128">
        <v>612.33000000000004</v>
      </c>
    </row>
    <row r="129" spans="1:12">
      <c r="A129" s="1">
        <v>45510</v>
      </c>
      <c r="B129" t="s">
        <v>13</v>
      </c>
      <c r="C129">
        <v>819.72</v>
      </c>
      <c r="D129">
        <v>12.58</v>
      </c>
      <c r="E129">
        <v>53.59</v>
      </c>
      <c r="F129">
        <v>92.72</v>
      </c>
      <c r="G129">
        <v>105.46</v>
      </c>
      <c r="H129">
        <v>149.91999999999999</v>
      </c>
      <c r="I129">
        <v>21.78</v>
      </c>
      <c r="J129">
        <v>72.13</v>
      </c>
      <c r="K129">
        <v>508.19</v>
      </c>
      <c r="L129">
        <v>311.52999999999997</v>
      </c>
    </row>
    <row r="130" spans="1:12">
      <c r="A130" s="1">
        <v>45511</v>
      </c>
      <c r="B130" t="s">
        <v>12</v>
      </c>
      <c r="C130">
        <v>436.38</v>
      </c>
      <c r="D130">
        <v>74.36</v>
      </c>
      <c r="E130">
        <v>40.57</v>
      </c>
      <c r="F130">
        <v>57.4</v>
      </c>
      <c r="G130">
        <v>125.34</v>
      </c>
      <c r="H130">
        <v>119.32</v>
      </c>
      <c r="I130">
        <v>17.940000000000001</v>
      </c>
      <c r="J130">
        <v>9.98</v>
      </c>
      <c r="K130">
        <v>444.91</v>
      </c>
      <c r="L130">
        <v>-8.5299999999999994</v>
      </c>
    </row>
    <row r="131" spans="1:12">
      <c r="A131" s="1">
        <v>45512</v>
      </c>
      <c r="B131" t="s">
        <v>13</v>
      </c>
      <c r="C131">
        <v>1029.8399999999999</v>
      </c>
      <c r="D131">
        <v>18.239999999999998</v>
      </c>
      <c r="E131">
        <v>50.34</v>
      </c>
      <c r="F131">
        <v>127.22</v>
      </c>
      <c r="G131">
        <v>70.48</v>
      </c>
      <c r="H131">
        <v>118.75</v>
      </c>
      <c r="I131">
        <v>24.02</v>
      </c>
      <c r="J131">
        <v>55.71</v>
      </c>
      <c r="K131">
        <v>464.75</v>
      </c>
      <c r="L131">
        <v>565.09</v>
      </c>
    </row>
    <row r="132" spans="1:12">
      <c r="A132" s="1">
        <v>45513</v>
      </c>
      <c r="B132" t="s">
        <v>13</v>
      </c>
      <c r="C132">
        <v>1286.79</v>
      </c>
      <c r="D132">
        <v>12.71</v>
      </c>
      <c r="E132">
        <v>81.569999999999993</v>
      </c>
      <c r="F132">
        <v>78.84</v>
      </c>
      <c r="G132">
        <v>91.55</v>
      </c>
      <c r="H132">
        <v>200.93</v>
      </c>
      <c r="I132">
        <v>27.87</v>
      </c>
      <c r="J132">
        <v>16.350000000000001</v>
      </c>
      <c r="K132">
        <v>509.82</v>
      </c>
      <c r="L132">
        <v>776.96</v>
      </c>
    </row>
    <row r="133" spans="1:12">
      <c r="A133" s="1">
        <v>45514</v>
      </c>
      <c r="B133" t="s">
        <v>12</v>
      </c>
      <c r="C133">
        <v>423.83</v>
      </c>
      <c r="D133">
        <v>83.8</v>
      </c>
      <c r="E133">
        <v>30.62</v>
      </c>
      <c r="F133">
        <v>62.92</v>
      </c>
      <c r="G133">
        <v>122.35</v>
      </c>
      <c r="H133">
        <v>157.82</v>
      </c>
      <c r="I133">
        <v>15.6</v>
      </c>
      <c r="J133">
        <v>21.94</v>
      </c>
      <c r="K133">
        <v>495.04</v>
      </c>
      <c r="L133">
        <v>-71.22</v>
      </c>
    </row>
    <row r="134" spans="1:12">
      <c r="A134" s="1">
        <v>45515</v>
      </c>
      <c r="B134" t="s">
        <v>13</v>
      </c>
      <c r="C134">
        <v>944.89</v>
      </c>
      <c r="D134">
        <v>20.86</v>
      </c>
      <c r="E134">
        <v>70.87</v>
      </c>
      <c r="F134">
        <v>68.88</v>
      </c>
      <c r="G134">
        <v>110.43</v>
      </c>
      <c r="H134">
        <v>70.3</v>
      </c>
      <c r="I134">
        <v>32.340000000000003</v>
      </c>
      <c r="J134">
        <v>13.9</v>
      </c>
      <c r="K134">
        <v>387.6</v>
      </c>
      <c r="L134">
        <v>557.29</v>
      </c>
    </row>
    <row r="135" spans="1:12">
      <c r="A135" s="1">
        <v>45516</v>
      </c>
      <c r="B135" t="s">
        <v>12</v>
      </c>
      <c r="C135">
        <v>331.88</v>
      </c>
      <c r="D135">
        <v>58.8</v>
      </c>
      <c r="E135">
        <v>20.58</v>
      </c>
      <c r="F135">
        <v>78.22</v>
      </c>
      <c r="G135">
        <v>98.31</v>
      </c>
      <c r="H135">
        <v>160.4</v>
      </c>
      <c r="I135">
        <v>19.62</v>
      </c>
      <c r="J135">
        <v>35.72</v>
      </c>
      <c r="K135">
        <v>471.65</v>
      </c>
      <c r="L135">
        <v>-139.77000000000001</v>
      </c>
    </row>
    <row r="136" spans="1:12">
      <c r="A136" s="1">
        <v>45517</v>
      </c>
      <c r="B136" t="s">
        <v>13</v>
      </c>
      <c r="C136">
        <v>965.36</v>
      </c>
      <c r="D136">
        <v>8.59</v>
      </c>
      <c r="E136">
        <v>79.930000000000007</v>
      </c>
      <c r="F136">
        <v>65.19</v>
      </c>
      <c r="G136">
        <v>63.87</v>
      </c>
      <c r="H136">
        <v>155.02000000000001</v>
      </c>
      <c r="I136">
        <v>35.51</v>
      </c>
      <c r="J136">
        <v>52.75</v>
      </c>
      <c r="K136">
        <v>460.84</v>
      </c>
      <c r="L136">
        <v>504.52</v>
      </c>
    </row>
    <row r="137" spans="1:12">
      <c r="A137" s="1">
        <v>45518</v>
      </c>
      <c r="B137" t="s">
        <v>12</v>
      </c>
      <c r="C137">
        <v>332.57</v>
      </c>
      <c r="D137">
        <v>66.510000000000005</v>
      </c>
      <c r="E137">
        <v>35.18</v>
      </c>
      <c r="F137">
        <v>96.53</v>
      </c>
      <c r="G137">
        <v>119.55</v>
      </c>
      <c r="H137">
        <v>162.9</v>
      </c>
      <c r="I137">
        <v>28.24</v>
      </c>
      <c r="J137">
        <v>32.869999999999997</v>
      </c>
      <c r="K137">
        <v>541.78</v>
      </c>
      <c r="L137">
        <v>-209.21</v>
      </c>
    </row>
    <row r="138" spans="1:12">
      <c r="A138" s="1">
        <v>45519</v>
      </c>
      <c r="B138" t="s">
        <v>12</v>
      </c>
      <c r="C138">
        <v>337.05</v>
      </c>
      <c r="D138">
        <v>68.040000000000006</v>
      </c>
      <c r="E138">
        <v>38.93</v>
      </c>
      <c r="F138">
        <v>54.26</v>
      </c>
      <c r="G138">
        <v>128.19</v>
      </c>
      <c r="H138">
        <v>151.56</v>
      </c>
      <c r="I138">
        <v>25.86</v>
      </c>
      <c r="J138">
        <v>29.03</v>
      </c>
      <c r="K138">
        <v>495.86</v>
      </c>
      <c r="L138">
        <v>-158.81</v>
      </c>
    </row>
    <row r="139" spans="1:12">
      <c r="A139" s="1">
        <v>45520</v>
      </c>
      <c r="B139" t="s">
        <v>12</v>
      </c>
      <c r="C139">
        <v>353.93</v>
      </c>
      <c r="D139">
        <v>50.02</v>
      </c>
      <c r="E139">
        <v>53.74</v>
      </c>
      <c r="F139">
        <v>61.93</v>
      </c>
      <c r="G139">
        <v>134.94999999999999</v>
      </c>
      <c r="H139">
        <v>63.11</v>
      </c>
      <c r="I139">
        <v>36.71</v>
      </c>
      <c r="J139">
        <v>28.32</v>
      </c>
      <c r="K139">
        <v>428.79</v>
      </c>
      <c r="L139">
        <v>-74.86</v>
      </c>
    </row>
    <row r="140" spans="1:12">
      <c r="A140" s="1">
        <v>45521</v>
      </c>
      <c r="B140" t="s">
        <v>13</v>
      </c>
      <c r="C140">
        <v>1171.6400000000001</v>
      </c>
      <c r="D140">
        <v>9.8000000000000007</v>
      </c>
      <c r="E140">
        <v>72.260000000000005</v>
      </c>
      <c r="F140">
        <v>48.4</v>
      </c>
      <c r="G140">
        <v>82.52</v>
      </c>
      <c r="H140">
        <v>236.99</v>
      </c>
      <c r="I140">
        <v>20.28</v>
      </c>
      <c r="J140">
        <v>43.26</v>
      </c>
      <c r="K140">
        <v>513.51</v>
      </c>
      <c r="L140">
        <v>658.12</v>
      </c>
    </row>
    <row r="141" spans="1:12">
      <c r="A141" s="1">
        <v>45522</v>
      </c>
      <c r="B141" t="s">
        <v>12</v>
      </c>
      <c r="C141">
        <v>393.5</v>
      </c>
      <c r="D141">
        <v>74.959999999999994</v>
      </c>
      <c r="E141">
        <v>42.26</v>
      </c>
      <c r="F141">
        <v>62.3</v>
      </c>
      <c r="G141">
        <v>170.09</v>
      </c>
      <c r="H141">
        <v>148.27000000000001</v>
      </c>
      <c r="I141">
        <v>21.61</v>
      </c>
      <c r="J141">
        <v>42.61</v>
      </c>
      <c r="K141">
        <v>562.09</v>
      </c>
      <c r="L141">
        <v>-168.58</v>
      </c>
    </row>
    <row r="142" spans="1:12">
      <c r="A142" s="1">
        <v>45523</v>
      </c>
      <c r="B142" t="s">
        <v>13</v>
      </c>
      <c r="C142">
        <v>1171.1099999999999</v>
      </c>
      <c r="D142">
        <v>20.94</v>
      </c>
      <c r="E142">
        <v>72.77</v>
      </c>
      <c r="F142">
        <v>45.71</v>
      </c>
      <c r="G142">
        <v>127.67</v>
      </c>
      <c r="H142">
        <v>129.88</v>
      </c>
      <c r="I142">
        <v>24.72</v>
      </c>
      <c r="J142">
        <v>28.69</v>
      </c>
      <c r="K142">
        <v>450.38</v>
      </c>
      <c r="L142">
        <v>720.73</v>
      </c>
    </row>
    <row r="143" spans="1:12">
      <c r="A143" s="1">
        <v>45524</v>
      </c>
      <c r="B143" t="s">
        <v>12</v>
      </c>
      <c r="C143">
        <v>346.79</v>
      </c>
      <c r="D143">
        <v>73.290000000000006</v>
      </c>
      <c r="E143">
        <v>44.82</v>
      </c>
      <c r="F143">
        <v>63.44</v>
      </c>
      <c r="G143">
        <v>150.34</v>
      </c>
      <c r="H143">
        <v>163.61000000000001</v>
      </c>
      <c r="I143">
        <v>18.05</v>
      </c>
      <c r="J143">
        <v>41.57</v>
      </c>
      <c r="K143">
        <v>555.11</v>
      </c>
      <c r="L143">
        <v>-208.32</v>
      </c>
    </row>
    <row r="144" spans="1:12">
      <c r="A144" s="1">
        <v>45525</v>
      </c>
      <c r="B144" t="s">
        <v>12</v>
      </c>
      <c r="C144">
        <v>409.47</v>
      </c>
      <c r="D144">
        <v>57.72</v>
      </c>
      <c r="E144">
        <v>48.96</v>
      </c>
      <c r="F144">
        <v>69.02</v>
      </c>
      <c r="G144">
        <v>102.56</v>
      </c>
      <c r="H144">
        <v>191.27</v>
      </c>
      <c r="I144">
        <v>18.8</v>
      </c>
      <c r="J144">
        <v>31.51</v>
      </c>
      <c r="K144">
        <v>519.85</v>
      </c>
      <c r="L144">
        <v>-110.37</v>
      </c>
    </row>
    <row r="145" spans="1:12">
      <c r="A145" s="1">
        <v>45526</v>
      </c>
      <c r="B145" t="s">
        <v>12</v>
      </c>
      <c r="C145">
        <v>341.35</v>
      </c>
      <c r="D145">
        <v>70.16</v>
      </c>
      <c r="E145">
        <v>23.56</v>
      </c>
      <c r="F145">
        <v>26.2</v>
      </c>
      <c r="G145">
        <v>149.86000000000001</v>
      </c>
      <c r="H145">
        <v>124.59</v>
      </c>
      <c r="I145">
        <v>12.07</v>
      </c>
      <c r="J145">
        <v>4.16</v>
      </c>
      <c r="K145">
        <v>410.59</v>
      </c>
      <c r="L145">
        <v>-69.25</v>
      </c>
    </row>
    <row r="146" spans="1:12">
      <c r="A146" s="1">
        <v>45527</v>
      </c>
      <c r="B146" t="s">
        <v>13</v>
      </c>
      <c r="C146">
        <v>822.21</v>
      </c>
      <c r="D146">
        <v>8.3800000000000008</v>
      </c>
      <c r="E146">
        <v>92.84</v>
      </c>
      <c r="F146">
        <v>110.29</v>
      </c>
      <c r="G146">
        <v>81.239999999999995</v>
      </c>
      <c r="H146">
        <v>248.84</v>
      </c>
      <c r="I146">
        <v>30.84</v>
      </c>
      <c r="J146">
        <v>35.130000000000003</v>
      </c>
      <c r="K146">
        <v>607.55999999999995</v>
      </c>
      <c r="L146">
        <v>214.65</v>
      </c>
    </row>
    <row r="147" spans="1:12">
      <c r="A147" s="1">
        <v>45528</v>
      </c>
      <c r="B147" t="s">
        <v>13</v>
      </c>
      <c r="C147">
        <v>450.12</v>
      </c>
      <c r="D147">
        <v>26.45</v>
      </c>
      <c r="E147">
        <v>32.21</v>
      </c>
      <c r="F147">
        <v>30.64</v>
      </c>
      <c r="G147">
        <v>115.45</v>
      </c>
      <c r="H147">
        <v>255.39</v>
      </c>
      <c r="I147">
        <v>34.46</v>
      </c>
      <c r="J147">
        <v>48.46</v>
      </c>
      <c r="K147">
        <v>543.05999999999995</v>
      </c>
      <c r="L147">
        <v>-92.94</v>
      </c>
    </row>
    <row r="148" spans="1:12">
      <c r="A148" s="1">
        <v>45529</v>
      </c>
      <c r="B148" t="s">
        <v>13</v>
      </c>
      <c r="C148">
        <v>1068.95</v>
      </c>
      <c r="D148">
        <v>19.27</v>
      </c>
      <c r="E148">
        <v>75.180000000000007</v>
      </c>
      <c r="F148">
        <v>88.44</v>
      </c>
      <c r="G148">
        <v>97.08</v>
      </c>
      <c r="H148">
        <v>167.81</v>
      </c>
      <c r="I148">
        <v>15.21</v>
      </c>
      <c r="J148">
        <v>35.79</v>
      </c>
      <c r="K148">
        <v>498.78</v>
      </c>
      <c r="L148">
        <v>570.16999999999996</v>
      </c>
    </row>
    <row r="149" spans="1:12">
      <c r="A149" s="1">
        <v>45530</v>
      </c>
      <c r="B149" t="s">
        <v>12</v>
      </c>
      <c r="C149">
        <v>265.35000000000002</v>
      </c>
      <c r="D149">
        <v>69.02</v>
      </c>
      <c r="E149">
        <v>25.17</v>
      </c>
      <c r="F149">
        <v>32.93</v>
      </c>
      <c r="G149">
        <v>114.5</v>
      </c>
      <c r="H149">
        <v>191.76</v>
      </c>
      <c r="I149">
        <v>27.35</v>
      </c>
      <c r="J149">
        <v>11.15</v>
      </c>
      <c r="K149">
        <v>471.87</v>
      </c>
      <c r="L149">
        <v>-206.52</v>
      </c>
    </row>
    <row r="150" spans="1:12">
      <c r="A150" s="1">
        <v>45531</v>
      </c>
      <c r="B150" t="s">
        <v>12</v>
      </c>
      <c r="C150">
        <v>300.52</v>
      </c>
      <c r="D150">
        <v>79.41</v>
      </c>
      <c r="E150">
        <v>25.26</v>
      </c>
      <c r="F150">
        <v>50.51</v>
      </c>
      <c r="G150">
        <v>123.75</v>
      </c>
      <c r="H150">
        <v>120.95</v>
      </c>
      <c r="I150">
        <v>20.84</v>
      </c>
      <c r="J150">
        <v>13.99</v>
      </c>
      <c r="K150">
        <v>434.71</v>
      </c>
      <c r="L150">
        <v>-134.19</v>
      </c>
    </row>
    <row r="151" spans="1:12">
      <c r="A151" s="1">
        <v>45532</v>
      </c>
      <c r="B151" t="s">
        <v>13</v>
      </c>
      <c r="C151">
        <v>829.73</v>
      </c>
      <c r="D151">
        <v>16.600000000000001</v>
      </c>
      <c r="E151">
        <v>28.14</v>
      </c>
      <c r="F151">
        <v>93.21</v>
      </c>
      <c r="G151">
        <v>94.61</v>
      </c>
      <c r="H151">
        <v>189.34</v>
      </c>
      <c r="I151">
        <v>24.02</v>
      </c>
      <c r="J151">
        <v>60.46</v>
      </c>
      <c r="K151">
        <v>506.38</v>
      </c>
      <c r="L151">
        <v>323.35000000000002</v>
      </c>
    </row>
    <row r="152" spans="1:12">
      <c r="A152" s="1">
        <v>45533</v>
      </c>
      <c r="B152" t="s">
        <v>12</v>
      </c>
      <c r="C152">
        <v>356.26</v>
      </c>
      <c r="D152">
        <v>65.709999999999994</v>
      </c>
      <c r="E152">
        <v>41.83</v>
      </c>
      <c r="F152">
        <v>65.87</v>
      </c>
      <c r="G152">
        <v>111.22</v>
      </c>
      <c r="H152">
        <v>151.22</v>
      </c>
      <c r="I152">
        <v>14.38</v>
      </c>
      <c r="J152">
        <v>22.05</v>
      </c>
      <c r="K152">
        <v>472.27</v>
      </c>
      <c r="L152">
        <v>-116.01</v>
      </c>
    </row>
    <row r="153" spans="1:12">
      <c r="A153" s="1">
        <v>45534</v>
      </c>
      <c r="B153" t="s">
        <v>13</v>
      </c>
      <c r="C153">
        <v>669.48</v>
      </c>
      <c r="D153">
        <v>23.75</v>
      </c>
      <c r="E153">
        <v>35.119999999999997</v>
      </c>
      <c r="F153">
        <v>59.21</v>
      </c>
      <c r="G153">
        <v>80.63</v>
      </c>
      <c r="H153">
        <v>201.32</v>
      </c>
      <c r="I153">
        <v>19.350000000000001</v>
      </c>
      <c r="J153">
        <v>58.72</v>
      </c>
      <c r="K153">
        <v>478.1</v>
      </c>
      <c r="L153">
        <v>191.38</v>
      </c>
    </row>
    <row r="154" spans="1:12">
      <c r="A154" s="1">
        <v>45535</v>
      </c>
      <c r="B154" t="s">
        <v>12</v>
      </c>
      <c r="C154">
        <v>316.33</v>
      </c>
      <c r="D154">
        <v>72.790000000000006</v>
      </c>
      <c r="E154">
        <v>27.47</v>
      </c>
      <c r="F154">
        <v>97.9</v>
      </c>
      <c r="G154">
        <v>80.31</v>
      </c>
      <c r="H154">
        <v>159.29</v>
      </c>
      <c r="I154">
        <v>25.07</v>
      </c>
      <c r="J154">
        <v>34.97</v>
      </c>
      <c r="K154">
        <v>497.8</v>
      </c>
      <c r="L154">
        <v>-181.48</v>
      </c>
    </row>
    <row r="155" spans="1:12">
      <c r="A155" s="1">
        <v>45536</v>
      </c>
      <c r="B155" t="s">
        <v>12</v>
      </c>
      <c r="C155">
        <v>340.74</v>
      </c>
      <c r="D155">
        <v>68.7</v>
      </c>
      <c r="E155">
        <v>40.659999999999997</v>
      </c>
      <c r="F155">
        <v>52.06</v>
      </c>
      <c r="G155">
        <v>134.1</v>
      </c>
      <c r="H155">
        <v>216.32</v>
      </c>
      <c r="I155">
        <v>15.54</v>
      </c>
      <c r="J155">
        <v>13.56</v>
      </c>
      <c r="K155">
        <v>540.92999999999995</v>
      </c>
      <c r="L155">
        <v>-200.2</v>
      </c>
    </row>
    <row r="156" spans="1:12">
      <c r="A156" s="1">
        <v>45537</v>
      </c>
      <c r="B156" t="s">
        <v>12</v>
      </c>
      <c r="C156">
        <v>345.59</v>
      </c>
      <c r="D156">
        <v>95.8</v>
      </c>
      <c r="E156">
        <v>27.94</v>
      </c>
      <c r="F156">
        <v>87.78</v>
      </c>
      <c r="G156">
        <v>151.94</v>
      </c>
      <c r="H156">
        <v>133.38999999999999</v>
      </c>
      <c r="I156">
        <v>24.55</v>
      </c>
      <c r="J156">
        <v>49.54</v>
      </c>
      <c r="K156">
        <v>570.95000000000005</v>
      </c>
      <c r="L156">
        <v>-225.37</v>
      </c>
    </row>
    <row r="157" spans="1:12">
      <c r="A157" s="1">
        <v>45538</v>
      </c>
      <c r="B157" t="s">
        <v>12</v>
      </c>
      <c r="C157">
        <v>331.04</v>
      </c>
      <c r="D157">
        <v>67.959999999999994</v>
      </c>
      <c r="E157">
        <v>31.27</v>
      </c>
      <c r="F157">
        <v>34.700000000000003</v>
      </c>
      <c r="G157">
        <v>93.77</v>
      </c>
      <c r="H157">
        <v>113.28</v>
      </c>
      <c r="I157">
        <v>20.27</v>
      </c>
      <c r="J157">
        <v>20.76</v>
      </c>
      <c r="K157">
        <v>382.03</v>
      </c>
      <c r="L157">
        <v>-50.98</v>
      </c>
    </row>
    <row r="158" spans="1:12">
      <c r="A158" s="1">
        <v>45539</v>
      </c>
      <c r="B158" t="s">
        <v>12</v>
      </c>
      <c r="C158">
        <v>361.69</v>
      </c>
      <c r="D158">
        <v>54.44</v>
      </c>
      <c r="E158">
        <v>44.96</v>
      </c>
      <c r="F158">
        <v>71.67</v>
      </c>
      <c r="G158">
        <v>60.16</v>
      </c>
      <c r="H158">
        <v>161.22</v>
      </c>
      <c r="I158">
        <v>29.82</v>
      </c>
      <c r="J158">
        <v>15.48</v>
      </c>
      <c r="K158">
        <v>437.76</v>
      </c>
      <c r="L158">
        <v>-76.069999999999993</v>
      </c>
    </row>
    <row r="159" spans="1:12">
      <c r="A159" s="1">
        <v>45540</v>
      </c>
      <c r="B159" t="s">
        <v>12</v>
      </c>
      <c r="C159">
        <v>433.63</v>
      </c>
      <c r="D159">
        <v>74.19</v>
      </c>
      <c r="E159">
        <v>29.42</v>
      </c>
      <c r="F159">
        <v>53.88</v>
      </c>
      <c r="G159">
        <v>123.96</v>
      </c>
      <c r="H159">
        <v>152.28</v>
      </c>
      <c r="I159">
        <v>24.31</v>
      </c>
      <c r="J159">
        <v>18.95</v>
      </c>
      <c r="K159">
        <v>477</v>
      </c>
      <c r="L159">
        <v>-43.37</v>
      </c>
    </row>
    <row r="160" spans="1:12">
      <c r="A160" s="1">
        <v>45541</v>
      </c>
      <c r="B160" t="s">
        <v>13</v>
      </c>
      <c r="C160">
        <v>983.87</v>
      </c>
      <c r="D160">
        <v>7.93</v>
      </c>
      <c r="E160">
        <v>57.78</v>
      </c>
      <c r="F160">
        <v>52.88</v>
      </c>
      <c r="G160">
        <v>80.290000000000006</v>
      </c>
      <c r="H160">
        <v>213.26</v>
      </c>
      <c r="I160">
        <v>31.82</v>
      </c>
      <c r="J160">
        <v>49.14</v>
      </c>
      <c r="K160">
        <v>493.1</v>
      </c>
      <c r="L160">
        <v>490.77</v>
      </c>
    </row>
    <row r="161" spans="1:12">
      <c r="A161" s="1">
        <v>45542</v>
      </c>
      <c r="B161" t="s">
        <v>12</v>
      </c>
      <c r="C161">
        <v>295.38</v>
      </c>
      <c r="D161">
        <v>66.84</v>
      </c>
      <c r="E161">
        <v>58.2</v>
      </c>
      <c r="F161">
        <v>57.83</v>
      </c>
      <c r="G161">
        <v>167.98</v>
      </c>
      <c r="H161">
        <v>161.80000000000001</v>
      </c>
      <c r="I161">
        <v>21.54</v>
      </c>
      <c r="J161">
        <v>26.29</v>
      </c>
      <c r="K161">
        <v>560.48</v>
      </c>
      <c r="L161">
        <v>-265.08999999999997</v>
      </c>
    </row>
    <row r="162" spans="1:12">
      <c r="A162" s="1">
        <v>45543</v>
      </c>
      <c r="B162" t="s">
        <v>12</v>
      </c>
      <c r="C162">
        <v>356.68</v>
      </c>
      <c r="D162">
        <v>68.48</v>
      </c>
      <c r="E162">
        <v>50.62</v>
      </c>
      <c r="F162">
        <v>74.13</v>
      </c>
      <c r="G162">
        <v>90.35</v>
      </c>
      <c r="H162">
        <v>110.06</v>
      </c>
      <c r="I162">
        <v>5.31</v>
      </c>
      <c r="J162">
        <v>36.1</v>
      </c>
      <c r="K162">
        <v>435.05</v>
      </c>
      <c r="L162">
        <v>-78.37</v>
      </c>
    </row>
    <row r="163" spans="1:12">
      <c r="A163" s="1">
        <v>45544</v>
      </c>
      <c r="B163" t="s">
        <v>12</v>
      </c>
      <c r="C163">
        <v>294.83</v>
      </c>
      <c r="D163">
        <v>48.47</v>
      </c>
      <c r="E163">
        <v>45.83</v>
      </c>
      <c r="F163">
        <v>104.86</v>
      </c>
      <c r="G163">
        <v>109.85</v>
      </c>
      <c r="H163">
        <v>175.15</v>
      </c>
      <c r="I163">
        <v>20.65</v>
      </c>
      <c r="J163">
        <v>28.81</v>
      </c>
      <c r="K163">
        <v>533.63</v>
      </c>
      <c r="L163">
        <v>-238.8</v>
      </c>
    </row>
    <row r="164" spans="1:12">
      <c r="A164" s="1">
        <v>45545</v>
      </c>
      <c r="B164" t="s">
        <v>13</v>
      </c>
      <c r="C164">
        <v>1133.82</v>
      </c>
      <c r="D164">
        <v>13.55</v>
      </c>
      <c r="E164">
        <v>65.349999999999994</v>
      </c>
      <c r="F164">
        <v>89.65</v>
      </c>
      <c r="G164">
        <v>81.64</v>
      </c>
      <c r="H164">
        <v>204.72</v>
      </c>
      <c r="I164">
        <v>20.43</v>
      </c>
      <c r="J164">
        <v>28.66</v>
      </c>
      <c r="K164">
        <v>504</v>
      </c>
      <c r="L164">
        <v>629.82000000000005</v>
      </c>
    </row>
    <row r="165" spans="1:12">
      <c r="A165" s="1">
        <v>45546</v>
      </c>
      <c r="B165" t="s">
        <v>12</v>
      </c>
      <c r="C165">
        <v>376.83</v>
      </c>
      <c r="D165">
        <v>61.02</v>
      </c>
      <c r="E165">
        <v>40.42</v>
      </c>
      <c r="F165">
        <v>54.82</v>
      </c>
      <c r="G165">
        <v>137.15</v>
      </c>
      <c r="H165">
        <v>164.24</v>
      </c>
      <c r="I165">
        <v>19.8</v>
      </c>
      <c r="J165">
        <v>39.81</v>
      </c>
      <c r="K165">
        <v>517.26</v>
      </c>
      <c r="L165">
        <v>-140.43</v>
      </c>
    </row>
    <row r="166" spans="1:12">
      <c r="A166" s="1">
        <v>45547</v>
      </c>
      <c r="B166" t="s">
        <v>12</v>
      </c>
      <c r="C166">
        <v>419.51</v>
      </c>
      <c r="D166">
        <v>75.58</v>
      </c>
      <c r="E166">
        <v>40.159999999999997</v>
      </c>
      <c r="F166">
        <v>28.76</v>
      </c>
      <c r="G166">
        <v>83.37</v>
      </c>
      <c r="H166">
        <v>140.84</v>
      </c>
      <c r="I166">
        <v>15.12</v>
      </c>
      <c r="J166">
        <v>27.76</v>
      </c>
      <c r="K166">
        <v>411.59</v>
      </c>
      <c r="L166">
        <v>7.92</v>
      </c>
    </row>
    <row r="167" spans="1:12">
      <c r="A167" s="1">
        <v>45548</v>
      </c>
      <c r="B167" t="s">
        <v>13</v>
      </c>
      <c r="C167">
        <v>961.33</v>
      </c>
      <c r="D167">
        <v>17.649999999999999</v>
      </c>
      <c r="E167">
        <v>58.59</v>
      </c>
      <c r="F167">
        <v>94.6</v>
      </c>
      <c r="G167">
        <v>96.29</v>
      </c>
      <c r="H167">
        <v>100.86</v>
      </c>
      <c r="I167">
        <v>13.55</v>
      </c>
      <c r="J167">
        <v>37.840000000000003</v>
      </c>
      <c r="K167">
        <v>419.37</v>
      </c>
      <c r="L167">
        <v>541.96</v>
      </c>
    </row>
    <row r="168" spans="1:12">
      <c r="A168" s="1">
        <v>45549</v>
      </c>
      <c r="B168" t="s">
        <v>13</v>
      </c>
      <c r="C168">
        <v>708.06</v>
      </c>
      <c r="D168">
        <v>18</v>
      </c>
      <c r="E168">
        <v>90.62</v>
      </c>
      <c r="F168">
        <v>116.56</v>
      </c>
      <c r="G168">
        <v>90.73</v>
      </c>
      <c r="H168">
        <v>222.18</v>
      </c>
      <c r="I168">
        <v>23.34</v>
      </c>
      <c r="J168">
        <v>34.94</v>
      </c>
      <c r="K168">
        <v>596.37</v>
      </c>
      <c r="L168">
        <v>111.7</v>
      </c>
    </row>
    <row r="169" spans="1:12">
      <c r="A169" s="1">
        <v>45550</v>
      </c>
      <c r="B169" t="s">
        <v>12</v>
      </c>
      <c r="C169">
        <v>319.33</v>
      </c>
      <c r="D169">
        <v>66.98</v>
      </c>
      <c r="E169">
        <v>34.18</v>
      </c>
      <c r="F169">
        <v>58.41</v>
      </c>
      <c r="G169">
        <v>114.01</v>
      </c>
      <c r="H169">
        <v>150.09</v>
      </c>
      <c r="I169">
        <v>23.5</v>
      </c>
      <c r="J169">
        <v>44.29</v>
      </c>
      <c r="K169">
        <v>491.45</v>
      </c>
      <c r="L169">
        <v>-172.12</v>
      </c>
    </row>
    <row r="170" spans="1:12">
      <c r="A170" s="1">
        <v>45551</v>
      </c>
      <c r="B170" t="s">
        <v>13</v>
      </c>
      <c r="C170">
        <v>1139.9100000000001</v>
      </c>
      <c r="D170">
        <v>7.58</v>
      </c>
      <c r="E170">
        <v>8.92</v>
      </c>
      <c r="F170">
        <v>108.03</v>
      </c>
      <c r="G170">
        <v>67.66</v>
      </c>
      <c r="H170">
        <v>162.13</v>
      </c>
      <c r="I170">
        <v>11.47</v>
      </c>
      <c r="J170">
        <v>12.97</v>
      </c>
      <c r="K170">
        <v>378.76</v>
      </c>
      <c r="L170">
        <v>761.15</v>
      </c>
    </row>
    <row r="171" spans="1:12">
      <c r="A171" s="1">
        <v>45552</v>
      </c>
      <c r="B171" t="s">
        <v>12</v>
      </c>
      <c r="C171">
        <v>377.07</v>
      </c>
      <c r="D171">
        <v>77.59</v>
      </c>
      <c r="E171">
        <v>31.35</v>
      </c>
      <c r="F171">
        <v>3.18</v>
      </c>
      <c r="G171">
        <v>96.34</v>
      </c>
      <c r="H171">
        <v>161.75</v>
      </c>
      <c r="I171">
        <v>8.17</v>
      </c>
      <c r="J171">
        <v>32.200000000000003</v>
      </c>
      <c r="K171">
        <v>410.59</v>
      </c>
      <c r="L171">
        <v>-33.520000000000003</v>
      </c>
    </row>
    <row r="172" spans="1:12">
      <c r="A172" s="1">
        <v>45553</v>
      </c>
      <c r="B172" t="s">
        <v>12</v>
      </c>
      <c r="C172">
        <v>349.23</v>
      </c>
      <c r="D172">
        <v>75.790000000000006</v>
      </c>
      <c r="E172">
        <v>41.79</v>
      </c>
      <c r="F172">
        <v>35.54</v>
      </c>
      <c r="G172">
        <v>139.91</v>
      </c>
      <c r="H172">
        <v>145.24</v>
      </c>
      <c r="I172">
        <v>19.78</v>
      </c>
      <c r="J172">
        <v>18.8</v>
      </c>
      <c r="K172">
        <v>476.87</v>
      </c>
      <c r="L172">
        <v>-127.63</v>
      </c>
    </row>
    <row r="173" spans="1:12">
      <c r="A173" s="1">
        <v>45554</v>
      </c>
      <c r="B173" t="s">
        <v>13</v>
      </c>
      <c r="C173">
        <v>861.34</v>
      </c>
      <c r="D173">
        <v>10.58</v>
      </c>
      <c r="E173">
        <v>56.54</v>
      </c>
      <c r="F173">
        <v>131.35</v>
      </c>
      <c r="G173">
        <v>67.56</v>
      </c>
      <c r="H173">
        <v>113.53</v>
      </c>
      <c r="I173">
        <v>35.24</v>
      </c>
      <c r="J173">
        <v>36.86</v>
      </c>
      <c r="K173">
        <v>451.66</v>
      </c>
      <c r="L173">
        <v>409.69</v>
      </c>
    </row>
    <row r="174" spans="1:12">
      <c r="A174" s="1">
        <v>45555</v>
      </c>
      <c r="B174" t="s">
        <v>13</v>
      </c>
      <c r="C174">
        <v>816.19</v>
      </c>
      <c r="D174">
        <v>20.2</v>
      </c>
      <c r="E174">
        <v>47.89</v>
      </c>
      <c r="F174">
        <v>134.78</v>
      </c>
      <c r="G174">
        <v>108.56</v>
      </c>
      <c r="H174">
        <v>152.91999999999999</v>
      </c>
      <c r="I174">
        <v>41.42</v>
      </c>
      <c r="J174">
        <v>30.91</v>
      </c>
      <c r="K174">
        <v>536.67999999999995</v>
      </c>
      <c r="L174">
        <v>279.51</v>
      </c>
    </row>
    <row r="175" spans="1:12">
      <c r="A175" s="1">
        <v>45556</v>
      </c>
      <c r="B175" t="s">
        <v>12</v>
      </c>
      <c r="C175">
        <v>387.1</v>
      </c>
      <c r="D175">
        <v>72.989999999999995</v>
      </c>
      <c r="E175">
        <v>59.53</v>
      </c>
      <c r="F175">
        <v>86.23</v>
      </c>
      <c r="G175">
        <v>110.8</v>
      </c>
      <c r="H175">
        <v>127.4</v>
      </c>
      <c r="I175">
        <v>23.68</v>
      </c>
      <c r="J175">
        <v>21.87</v>
      </c>
      <c r="K175">
        <v>502.49</v>
      </c>
      <c r="L175">
        <v>-115.39</v>
      </c>
    </row>
    <row r="176" spans="1:12">
      <c r="A176" s="1">
        <v>45557</v>
      </c>
      <c r="B176" t="s">
        <v>13</v>
      </c>
      <c r="C176">
        <v>1352.68</v>
      </c>
      <c r="D176">
        <v>15.68</v>
      </c>
      <c r="E176">
        <v>52.69</v>
      </c>
      <c r="F176">
        <v>85.54</v>
      </c>
      <c r="G176">
        <v>68.06</v>
      </c>
      <c r="H176">
        <v>135.99</v>
      </c>
      <c r="I176">
        <v>32.799999999999997</v>
      </c>
      <c r="J176">
        <v>30.15</v>
      </c>
      <c r="K176">
        <v>420.92</v>
      </c>
      <c r="L176">
        <v>931.76</v>
      </c>
    </row>
    <row r="177" spans="1:12">
      <c r="A177" s="1">
        <v>45558</v>
      </c>
      <c r="B177" t="s">
        <v>12</v>
      </c>
      <c r="C177">
        <v>297.64999999999998</v>
      </c>
      <c r="D177">
        <v>75.37</v>
      </c>
      <c r="E177">
        <v>57.79</v>
      </c>
      <c r="F177">
        <v>69.38</v>
      </c>
      <c r="G177">
        <v>134.9</v>
      </c>
      <c r="H177">
        <v>127.3</v>
      </c>
      <c r="I177">
        <v>8.6300000000000008</v>
      </c>
      <c r="J177">
        <v>48.02</v>
      </c>
      <c r="K177">
        <v>521.37</v>
      </c>
      <c r="L177">
        <v>-223.72</v>
      </c>
    </row>
    <row r="178" spans="1:12">
      <c r="A178" s="1">
        <v>45559</v>
      </c>
      <c r="B178" t="s">
        <v>13</v>
      </c>
      <c r="C178">
        <v>885.46</v>
      </c>
      <c r="D178">
        <v>13.75</v>
      </c>
      <c r="E178">
        <v>86.56</v>
      </c>
      <c r="F178">
        <v>96.69</v>
      </c>
      <c r="G178">
        <v>104.12</v>
      </c>
      <c r="H178">
        <v>245.78</v>
      </c>
      <c r="I178">
        <v>16.21</v>
      </c>
      <c r="J178">
        <v>53.92</v>
      </c>
      <c r="K178">
        <v>617.02</v>
      </c>
      <c r="L178">
        <v>268.45</v>
      </c>
    </row>
    <row r="179" spans="1:12">
      <c r="A179" s="1">
        <v>45560</v>
      </c>
      <c r="B179" t="s">
        <v>13</v>
      </c>
      <c r="C179">
        <v>961.4</v>
      </c>
      <c r="D179">
        <v>16.34</v>
      </c>
      <c r="E179">
        <v>90.57</v>
      </c>
      <c r="F179">
        <v>95.24</v>
      </c>
      <c r="G179">
        <v>105.77</v>
      </c>
      <c r="H179">
        <v>207.54</v>
      </c>
      <c r="I179">
        <v>18.72</v>
      </c>
      <c r="J179">
        <v>27.41</v>
      </c>
      <c r="K179">
        <v>561.58000000000004</v>
      </c>
      <c r="L179">
        <v>399.82</v>
      </c>
    </row>
    <row r="180" spans="1:12">
      <c r="A180" s="1">
        <v>45561</v>
      </c>
      <c r="B180" t="s">
        <v>13</v>
      </c>
      <c r="C180">
        <v>741.04</v>
      </c>
      <c r="D180">
        <v>5.17</v>
      </c>
      <c r="E180">
        <v>101.12</v>
      </c>
      <c r="F180">
        <v>46.9</v>
      </c>
      <c r="G180">
        <v>90.57</v>
      </c>
      <c r="H180">
        <v>160.31</v>
      </c>
      <c r="I180">
        <v>24.77</v>
      </c>
      <c r="J180">
        <v>52.24</v>
      </c>
      <c r="K180">
        <v>481.09</v>
      </c>
      <c r="L180">
        <v>259.95</v>
      </c>
    </row>
    <row r="181" spans="1:12">
      <c r="A181" s="1">
        <v>45562</v>
      </c>
      <c r="B181" t="s">
        <v>12</v>
      </c>
      <c r="C181">
        <v>393.02</v>
      </c>
      <c r="D181">
        <v>64.17</v>
      </c>
      <c r="E181">
        <v>37.49</v>
      </c>
      <c r="F181">
        <v>60.65</v>
      </c>
      <c r="G181">
        <v>103.78</v>
      </c>
      <c r="H181">
        <v>198.22</v>
      </c>
      <c r="I181">
        <v>23.93</v>
      </c>
      <c r="J181">
        <v>38.82</v>
      </c>
      <c r="K181">
        <v>527.05999999999995</v>
      </c>
      <c r="L181">
        <v>-134.04</v>
      </c>
    </row>
    <row r="182" spans="1:12">
      <c r="A182" s="1">
        <v>45563</v>
      </c>
      <c r="B182" t="s">
        <v>13</v>
      </c>
      <c r="C182">
        <v>1082.58</v>
      </c>
      <c r="D182">
        <v>20.87</v>
      </c>
      <c r="E182">
        <v>63.62</v>
      </c>
      <c r="F182">
        <v>41.1</v>
      </c>
      <c r="G182">
        <v>102.99</v>
      </c>
      <c r="H182">
        <v>147.19999999999999</v>
      </c>
      <c r="I182">
        <v>17.239999999999998</v>
      </c>
      <c r="J182">
        <v>48.8</v>
      </c>
      <c r="K182">
        <v>441.82</v>
      </c>
      <c r="L182">
        <v>640.76</v>
      </c>
    </row>
    <row r="183" spans="1:12">
      <c r="A183" s="1">
        <v>45564</v>
      </c>
      <c r="B183" t="s">
        <v>12</v>
      </c>
      <c r="C183">
        <v>411.91</v>
      </c>
      <c r="D183">
        <v>70.209999999999994</v>
      </c>
      <c r="E183">
        <v>44.63</v>
      </c>
      <c r="F183">
        <v>89.04</v>
      </c>
      <c r="G183">
        <v>116.02</v>
      </c>
      <c r="H183">
        <v>228.05</v>
      </c>
      <c r="I183">
        <v>24.52</v>
      </c>
      <c r="J183">
        <v>8.8699999999999992</v>
      </c>
      <c r="K183">
        <v>581.35</v>
      </c>
      <c r="L183">
        <v>-169.44</v>
      </c>
    </row>
    <row r="184" spans="1:12">
      <c r="A184" s="1">
        <v>45565</v>
      </c>
      <c r="B184" t="s">
        <v>12</v>
      </c>
      <c r="C184">
        <v>387.67</v>
      </c>
      <c r="D184">
        <v>73.81</v>
      </c>
      <c r="E184">
        <v>59.35</v>
      </c>
      <c r="F184">
        <v>68.459999999999994</v>
      </c>
      <c r="G184">
        <v>106.54</v>
      </c>
      <c r="H184">
        <v>113.27</v>
      </c>
      <c r="I184">
        <v>18.329999999999998</v>
      </c>
      <c r="J184">
        <v>19.79</v>
      </c>
      <c r="K184">
        <v>459.55</v>
      </c>
      <c r="L184">
        <v>-71.89</v>
      </c>
    </row>
    <row r="185" spans="1:12">
      <c r="A185" s="1">
        <v>45566</v>
      </c>
      <c r="B185" t="s">
        <v>13</v>
      </c>
      <c r="C185">
        <v>833.9</v>
      </c>
      <c r="D185">
        <v>17.940000000000001</v>
      </c>
      <c r="E185">
        <v>93.4</v>
      </c>
      <c r="F185">
        <v>91.84</v>
      </c>
      <c r="G185">
        <v>71.08</v>
      </c>
      <c r="H185">
        <v>185.56</v>
      </c>
      <c r="I185">
        <v>32.770000000000003</v>
      </c>
      <c r="J185">
        <v>30.85</v>
      </c>
      <c r="K185">
        <v>523.45000000000005</v>
      </c>
      <c r="L185">
        <v>310.45</v>
      </c>
    </row>
    <row r="186" spans="1:12">
      <c r="A186" s="1">
        <v>45567</v>
      </c>
      <c r="B186" t="s">
        <v>12</v>
      </c>
      <c r="C186">
        <v>343.3</v>
      </c>
      <c r="D186">
        <v>70.150000000000006</v>
      </c>
      <c r="E186">
        <v>28.23</v>
      </c>
      <c r="F186">
        <v>67.97</v>
      </c>
      <c r="G186">
        <v>106.98</v>
      </c>
      <c r="H186">
        <v>162.59</v>
      </c>
      <c r="I186">
        <v>12.9</v>
      </c>
      <c r="J186">
        <v>24.75</v>
      </c>
      <c r="K186">
        <v>473.55</v>
      </c>
      <c r="L186">
        <v>-130.25</v>
      </c>
    </row>
    <row r="187" spans="1:12">
      <c r="A187" s="1">
        <v>45568</v>
      </c>
      <c r="B187" t="s">
        <v>13</v>
      </c>
      <c r="C187">
        <v>1094.48</v>
      </c>
      <c r="D187">
        <v>13.14</v>
      </c>
      <c r="E187">
        <v>94.54</v>
      </c>
      <c r="F187">
        <v>68.010000000000005</v>
      </c>
      <c r="G187">
        <v>99.49</v>
      </c>
      <c r="H187">
        <v>202.64</v>
      </c>
      <c r="I187">
        <v>9.23</v>
      </c>
      <c r="J187">
        <v>13.59</v>
      </c>
      <c r="K187">
        <v>500.64</v>
      </c>
      <c r="L187">
        <v>593.83000000000004</v>
      </c>
    </row>
    <row r="188" spans="1:12">
      <c r="A188" s="1">
        <v>45569</v>
      </c>
      <c r="B188" t="s">
        <v>12</v>
      </c>
      <c r="C188">
        <v>273.72000000000003</v>
      </c>
      <c r="D188">
        <v>82.63</v>
      </c>
      <c r="E188">
        <v>31.72</v>
      </c>
      <c r="F188">
        <v>106.16</v>
      </c>
      <c r="G188">
        <v>95.89</v>
      </c>
      <c r="H188">
        <v>155.54</v>
      </c>
      <c r="I188">
        <v>32.340000000000003</v>
      </c>
      <c r="J188">
        <v>54.07</v>
      </c>
      <c r="K188">
        <v>558.35</v>
      </c>
      <c r="L188">
        <v>-284.64</v>
      </c>
    </row>
    <row r="189" spans="1:12">
      <c r="A189" s="1">
        <v>45570</v>
      </c>
      <c r="B189" t="s">
        <v>12</v>
      </c>
      <c r="C189">
        <v>453.08</v>
      </c>
      <c r="D189">
        <v>82.08</v>
      </c>
      <c r="E189">
        <v>55.36</v>
      </c>
      <c r="F189">
        <v>66.849999999999994</v>
      </c>
      <c r="G189">
        <v>129.46</v>
      </c>
      <c r="H189">
        <v>133.46</v>
      </c>
      <c r="I189">
        <v>13.45</v>
      </c>
      <c r="J189">
        <v>29.96</v>
      </c>
      <c r="K189">
        <v>510.63</v>
      </c>
      <c r="L189">
        <v>-57.56</v>
      </c>
    </row>
    <row r="190" spans="1:12">
      <c r="A190" s="1">
        <v>45571</v>
      </c>
      <c r="B190" t="s">
        <v>13</v>
      </c>
      <c r="C190">
        <v>915.96</v>
      </c>
      <c r="D190">
        <v>12.73</v>
      </c>
      <c r="E190">
        <v>73.930000000000007</v>
      </c>
      <c r="F190">
        <v>108.66</v>
      </c>
      <c r="G190">
        <v>96.77</v>
      </c>
      <c r="H190">
        <v>221.71</v>
      </c>
      <c r="I190">
        <v>11.72</v>
      </c>
      <c r="J190">
        <v>37.1</v>
      </c>
      <c r="K190">
        <v>562.62</v>
      </c>
      <c r="L190">
        <v>353.34</v>
      </c>
    </row>
    <row r="191" spans="1:12">
      <c r="A191" s="1">
        <v>45572</v>
      </c>
      <c r="B191" t="s">
        <v>12</v>
      </c>
      <c r="C191">
        <v>314.16000000000003</v>
      </c>
      <c r="D191">
        <v>51.33</v>
      </c>
      <c r="E191">
        <v>38.76</v>
      </c>
      <c r="F191">
        <v>52.57</v>
      </c>
      <c r="G191">
        <v>147.84</v>
      </c>
      <c r="H191">
        <v>168.92</v>
      </c>
      <c r="I191">
        <v>11.81</v>
      </c>
      <c r="J191">
        <v>52.25</v>
      </c>
      <c r="K191">
        <v>523.48</v>
      </c>
      <c r="L191">
        <v>-209.32</v>
      </c>
    </row>
    <row r="192" spans="1:12">
      <c r="A192" s="1">
        <v>45573</v>
      </c>
      <c r="B192" t="s">
        <v>12</v>
      </c>
      <c r="C192">
        <v>411.05</v>
      </c>
      <c r="D192">
        <v>75.819999999999993</v>
      </c>
      <c r="E192">
        <v>36.6</v>
      </c>
      <c r="F192">
        <v>35.81</v>
      </c>
      <c r="G192">
        <v>100.69</v>
      </c>
      <c r="H192">
        <v>182.66</v>
      </c>
      <c r="I192">
        <v>35.08</v>
      </c>
      <c r="J192">
        <v>48.52</v>
      </c>
      <c r="K192">
        <v>515.19000000000005</v>
      </c>
      <c r="L192">
        <v>-104.14</v>
      </c>
    </row>
    <row r="193" spans="1:12">
      <c r="A193" s="1">
        <v>45574</v>
      </c>
      <c r="B193" t="s">
        <v>13</v>
      </c>
      <c r="C193">
        <v>852.23</v>
      </c>
      <c r="D193">
        <v>9.4</v>
      </c>
      <c r="E193">
        <v>62.82</v>
      </c>
      <c r="F193">
        <v>26.95</v>
      </c>
      <c r="G193">
        <v>101.46</v>
      </c>
      <c r="H193">
        <v>164.83</v>
      </c>
      <c r="I193">
        <v>17.809999999999999</v>
      </c>
      <c r="J193">
        <v>16.079999999999998</v>
      </c>
      <c r="K193">
        <v>399.35</v>
      </c>
      <c r="L193">
        <v>452.88</v>
      </c>
    </row>
    <row r="194" spans="1:12">
      <c r="A194" s="1">
        <v>45575</v>
      </c>
      <c r="B194" t="s">
        <v>13</v>
      </c>
      <c r="C194">
        <v>1052.72</v>
      </c>
      <c r="D194">
        <v>12.34</v>
      </c>
      <c r="E194">
        <v>36.6</v>
      </c>
      <c r="F194">
        <v>-6.17</v>
      </c>
      <c r="G194">
        <v>94.45</v>
      </c>
      <c r="H194">
        <v>232.03</v>
      </c>
      <c r="I194">
        <v>36.950000000000003</v>
      </c>
      <c r="J194">
        <v>33.14</v>
      </c>
      <c r="K194">
        <v>439.34</v>
      </c>
      <c r="L194">
        <v>613.38</v>
      </c>
    </row>
    <row r="195" spans="1:12">
      <c r="A195" s="1">
        <v>45576</v>
      </c>
      <c r="B195" t="s">
        <v>13</v>
      </c>
      <c r="C195">
        <v>829.56</v>
      </c>
      <c r="D195">
        <v>17.34</v>
      </c>
      <c r="E195">
        <v>40.03</v>
      </c>
      <c r="F195">
        <v>89.05</v>
      </c>
      <c r="G195">
        <v>110.32</v>
      </c>
      <c r="H195">
        <v>212.94</v>
      </c>
      <c r="I195">
        <v>21.1</v>
      </c>
      <c r="J195">
        <v>36.94</v>
      </c>
      <c r="K195">
        <v>527.74</v>
      </c>
      <c r="L195">
        <v>301.82</v>
      </c>
    </row>
    <row r="196" spans="1:12">
      <c r="A196" s="1">
        <v>45577</v>
      </c>
      <c r="B196" t="s">
        <v>12</v>
      </c>
      <c r="C196">
        <v>306.10000000000002</v>
      </c>
      <c r="D196">
        <v>61.73</v>
      </c>
      <c r="E196">
        <v>36.6</v>
      </c>
      <c r="F196">
        <v>62.35</v>
      </c>
      <c r="G196">
        <v>132.84</v>
      </c>
      <c r="H196">
        <v>125.9</v>
      </c>
      <c r="I196">
        <v>31.94</v>
      </c>
      <c r="J196">
        <v>26.75</v>
      </c>
      <c r="K196">
        <v>478.11</v>
      </c>
      <c r="L196">
        <v>-172.01</v>
      </c>
    </row>
    <row r="197" spans="1:12">
      <c r="A197" s="1">
        <v>45578</v>
      </c>
      <c r="B197" t="s">
        <v>13</v>
      </c>
      <c r="C197">
        <v>945.73</v>
      </c>
      <c r="D197">
        <v>11.26</v>
      </c>
      <c r="E197">
        <v>11.52</v>
      </c>
      <c r="F197">
        <v>106.52</v>
      </c>
      <c r="G197">
        <v>109.74</v>
      </c>
      <c r="H197">
        <v>160.15</v>
      </c>
      <c r="I197">
        <v>22.6</v>
      </c>
      <c r="J197">
        <v>47.74</v>
      </c>
      <c r="K197">
        <v>469.53</v>
      </c>
      <c r="L197">
        <v>476.19</v>
      </c>
    </row>
    <row r="198" spans="1:12">
      <c r="A198" s="1">
        <v>45579</v>
      </c>
      <c r="B198" t="s">
        <v>12</v>
      </c>
      <c r="C198">
        <v>271.87</v>
      </c>
      <c r="D198">
        <v>64.709999999999994</v>
      </c>
      <c r="E198">
        <v>51.91</v>
      </c>
      <c r="F198">
        <v>29.91</v>
      </c>
      <c r="G198">
        <v>117.34</v>
      </c>
      <c r="H198">
        <v>109.3</v>
      </c>
      <c r="I198">
        <v>23.73</v>
      </c>
      <c r="J198">
        <v>29.57</v>
      </c>
      <c r="K198">
        <v>426.48</v>
      </c>
      <c r="L198">
        <v>-154.61000000000001</v>
      </c>
    </row>
    <row r="199" spans="1:12">
      <c r="A199" s="1">
        <v>45580</v>
      </c>
      <c r="B199" t="s">
        <v>13</v>
      </c>
      <c r="C199">
        <v>626.97</v>
      </c>
      <c r="D199">
        <v>20.82</v>
      </c>
      <c r="E199">
        <v>45.31</v>
      </c>
      <c r="F199">
        <v>55.69</v>
      </c>
      <c r="G199">
        <v>99.01</v>
      </c>
      <c r="H199">
        <v>210.2</v>
      </c>
      <c r="I199">
        <v>12.86</v>
      </c>
      <c r="J199">
        <v>40.93</v>
      </c>
      <c r="K199">
        <v>484.82</v>
      </c>
      <c r="L199">
        <v>142.15</v>
      </c>
    </row>
    <row r="200" spans="1:12">
      <c r="A200" s="1">
        <v>45581</v>
      </c>
      <c r="B200" t="s">
        <v>12</v>
      </c>
      <c r="C200">
        <v>371.44</v>
      </c>
      <c r="D200">
        <v>76.930000000000007</v>
      </c>
      <c r="E200">
        <v>42.65</v>
      </c>
      <c r="F200">
        <v>47.66</v>
      </c>
      <c r="G200">
        <v>89.31</v>
      </c>
      <c r="H200">
        <v>152.58000000000001</v>
      </c>
      <c r="I200">
        <v>11.42</v>
      </c>
      <c r="J200">
        <v>-5.0599999999999996</v>
      </c>
      <c r="K200">
        <v>415.5</v>
      </c>
      <c r="L200">
        <v>-44.06</v>
      </c>
    </row>
    <row r="201" spans="1:12">
      <c r="A201" s="1">
        <v>45582</v>
      </c>
      <c r="B201" t="s">
        <v>12</v>
      </c>
      <c r="C201">
        <v>371.83</v>
      </c>
      <c r="D201">
        <v>79.040000000000006</v>
      </c>
      <c r="E201">
        <v>4.5599999999999996</v>
      </c>
      <c r="F201">
        <v>34.81</v>
      </c>
      <c r="G201">
        <v>125.48</v>
      </c>
      <c r="H201">
        <v>211.72</v>
      </c>
      <c r="I201">
        <v>20.170000000000002</v>
      </c>
      <c r="J201">
        <v>21.26</v>
      </c>
      <c r="K201">
        <v>497.03</v>
      </c>
      <c r="L201">
        <v>-125.21</v>
      </c>
    </row>
    <row r="202" spans="1:12">
      <c r="A202" s="1">
        <v>45583</v>
      </c>
      <c r="B202" t="s">
        <v>13</v>
      </c>
      <c r="C202">
        <v>913.42</v>
      </c>
      <c r="D202">
        <v>21.87</v>
      </c>
      <c r="E202">
        <v>47.08</v>
      </c>
      <c r="F202">
        <v>56.02</v>
      </c>
      <c r="G202">
        <v>85.35</v>
      </c>
      <c r="H202">
        <v>136.63</v>
      </c>
      <c r="I202">
        <v>23.1</v>
      </c>
      <c r="J202">
        <v>64.37</v>
      </c>
      <c r="K202">
        <v>434.43</v>
      </c>
      <c r="L202">
        <v>478.99</v>
      </c>
    </row>
    <row r="203" spans="1:12">
      <c r="A203" s="1">
        <v>45584</v>
      </c>
      <c r="B203" t="s">
        <v>12</v>
      </c>
      <c r="C203">
        <v>366.15</v>
      </c>
      <c r="D203">
        <v>67.48</v>
      </c>
      <c r="E203">
        <v>35.619999999999997</v>
      </c>
      <c r="F203">
        <v>23.74</v>
      </c>
      <c r="G203">
        <v>132.08000000000001</v>
      </c>
      <c r="H203">
        <v>147.66</v>
      </c>
      <c r="I203">
        <v>18.559999999999999</v>
      </c>
      <c r="J203">
        <v>68.319999999999993</v>
      </c>
      <c r="K203">
        <v>493.45</v>
      </c>
      <c r="L203">
        <v>-127.3</v>
      </c>
    </row>
    <row r="204" spans="1:12">
      <c r="A204" s="1">
        <v>45585</v>
      </c>
      <c r="B204" t="s">
        <v>12</v>
      </c>
      <c r="C204">
        <v>364.94</v>
      </c>
      <c r="D204">
        <v>62.48</v>
      </c>
      <c r="E204">
        <v>33.6</v>
      </c>
      <c r="F204">
        <v>77.97</v>
      </c>
      <c r="G204">
        <v>112.83</v>
      </c>
      <c r="H204">
        <v>106.85</v>
      </c>
      <c r="I204">
        <v>27.35</v>
      </c>
      <c r="J204">
        <v>21.98</v>
      </c>
      <c r="K204">
        <v>443.08</v>
      </c>
      <c r="L204">
        <v>-78.14</v>
      </c>
    </row>
    <row r="205" spans="1:12">
      <c r="A205" s="1">
        <v>45586</v>
      </c>
      <c r="B205" t="s">
        <v>12</v>
      </c>
      <c r="C205">
        <v>443.66</v>
      </c>
      <c r="D205">
        <v>80.8</v>
      </c>
      <c r="E205">
        <v>33.29</v>
      </c>
      <c r="F205">
        <v>80.62</v>
      </c>
      <c r="G205">
        <v>111.7</v>
      </c>
      <c r="H205">
        <v>175.58</v>
      </c>
      <c r="I205">
        <v>23.88</v>
      </c>
      <c r="J205">
        <v>19.84</v>
      </c>
      <c r="K205">
        <v>525.71</v>
      </c>
      <c r="L205">
        <v>-82.05</v>
      </c>
    </row>
    <row r="206" spans="1:12">
      <c r="A206" s="1">
        <v>45587</v>
      </c>
      <c r="B206" t="s">
        <v>13</v>
      </c>
      <c r="C206">
        <v>821.29</v>
      </c>
      <c r="D206">
        <v>20.149999999999999</v>
      </c>
      <c r="E206">
        <v>53.3</v>
      </c>
      <c r="F206">
        <v>67.89</v>
      </c>
      <c r="G206">
        <v>75.900000000000006</v>
      </c>
      <c r="H206">
        <v>184.83</v>
      </c>
      <c r="I206">
        <v>40.56</v>
      </c>
      <c r="J206">
        <v>23.99</v>
      </c>
      <c r="K206">
        <v>466.62</v>
      </c>
      <c r="L206">
        <v>354.67</v>
      </c>
    </row>
    <row r="207" spans="1:12">
      <c r="A207" s="1">
        <v>45588</v>
      </c>
      <c r="B207" t="s">
        <v>13</v>
      </c>
      <c r="C207">
        <v>954.84</v>
      </c>
      <c r="D207">
        <v>22.06</v>
      </c>
      <c r="E207">
        <v>58.41</v>
      </c>
      <c r="F207">
        <v>93.57</v>
      </c>
      <c r="G207">
        <v>73.75</v>
      </c>
      <c r="H207">
        <v>184.99</v>
      </c>
      <c r="I207">
        <v>20.32</v>
      </c>
      <c r="J207">
        <v>54.79</v>
      </c>
      <c r="K207">
        <v>507.88</v>
      </c>
      <c r="L207">
        <v>446.96</v>
      </c>
    </row>
    <row r="208" spans="1:12">
      <c r="A208" s="1">
        <v>45589</v>
      </c>
      <c r="B208" t="s">
        <v>13</v>
      </c>
      <c r="C208">
        <v>1187.48</v>
      </c>
      <c r="D208">
        <v>27.95</v>
      </c>
      <c r="E208">
        <v>71.59</v>
      </c>
      <c r="F208">
        <v>89.77</v>
      </c>
      <c r="G208">
        <v>98.89</v>
      </c>
      <c r="H208">
        <v>157.63999999999999</v>
      </c>
      <c r="I208">
        <v>25.05</v>
      </c>
      <c r="J208">
        <v>35.57</v>
      </c>
      <c r="K208">
        <v>506.46</v>
      </c>
      <c r="L208">
        <v>681.02</v>
      </c>
    </row>
    <row r="209" spans="1:12">
      <c r="A209" s="1">
        <v>45590</v>
      </c>
      <c r="B209" t="s">
        <v>13</v>
      </c>
      <c r="C209">
        <v>983.69</v>
      </c>
      <c r="D209">
        <v>21.59</v>
      </c>
      <c r="E209">
        <v>39.869999999999997</v>
      </c>
      <c r="F209">
        <v>114.2</v>
      </c>
      <c r="G209">
        <v>121.34</v>
      </c>
      <c r="H209">
        <v>165.87</v>
      </c>
      <c r="I209">
        <v>2.9</v>
      </c>
      <c r="J209">
        <v>30.88</v>
      </c>
      <c r="K209">
        <v>496.65</v>
      </c>
      <c r="L209">
        <v>487.04</v>
      </c>
    </row>
    <row r="210" spans="1:12">
      <c r="A210" s="1">
        <v>45591</v>
      </c>
      <c r="B210" t="s">
        <v>13</v>
      </c>
      <c r="C210">
        <v>1209.4000000000001</v>
      </c>
      <c r="D210">
        <v>14.89</v>
      </c>
      <c r="E210">
        <v>40.01</v>
      </c>
      <c r="F210">
        <v>64.86</v>
      </c>
      <c r="G210">
        <v>111.81</v>
      </c>
      <c r="H210">
        <v>189.14</v>
      </c>
      <c r="I210">
        <v>19.850000000000001</v>
      </c>
      <c r="J210">
        <v>34.5</v>
      </c>
      <c r="K210">
        <v>475.05</v>
      </c>
      <c r="L210">
        <v>734.35</v>
      </c>
    </row>
    <row r="211" spans="1:12">
      <c r="A211" s="1">
        <v>45592</v>
      </c>
      <c r="B211" t="s">
        <v>13</v>
      </c>
      <c r="C211">
        <v>871.65</v>
      </c>
      <c r="D211">
        <v>10.39</v>
      </c>
      <c r="E211">
        <v>92.31</v>
      </c>
      <c r="F211">
        <v>70.33</v>
      </c>
      <c r="G211">
        <v>119.34</v>
      </c>
      <c r="H211">
        <v>223.25</v>
      </c>
      <c r="I211">
        <v>30.98</v>
      </c>
      <c r="J211">
        <v>33.53</v>
      </c>
      <c r="K211">
        <v>580.13</v>
      </c>
      <c r="L211">
        <v>291.52</v>
      </c>
    </row>
    <row r="212" spans="1:12">
      <c r="A212" s="1">
        <v>45593</v>
      </c>
      <c r="B212" t="s">
        <v>12</v>
      </c>
      <c r="C212">
        <v>370.19</v>
      </c>
      <c r="D212">
        <v>69.760000000000005</v>
      </c>
      <c r="E212">
        <v>26.44</v>
      </c>
      <c r="F212">
        <v>61.49</v>
      </c>
      <c r="G212">
        <v>80.52</v>
      </c>
      <c r="H212">
        <v>185.63</v>
      </c>
      <c r="I212">
        <v>16.28</v>
      </c>
      <c r="J212">
        <v>32.409999999999997</v>
      </c>
      <c r="K212">
        <v>472.54</v>
      </c>
      <c r="L212">
        <v>-102.35</v>
      </c>
    </row>
    <row r="213" spans="1:12">
      <c r="A213" s="1">
        <v>45594</v>
      </c>
      <c r="B213" t="s">
        <v>12</v>
      </c>
      <c r="C213">
        <v>364.16</v>
      </c>
      <c r="D213">
        <v>67.41</v>
      </c>
      <c r="E213">
        <v>48.8</v>
      </c>
      <c r="F213">
        <v>45.5</v>
      </c>
      <c r="G213">
        <v>131.78</v>
      </c>
      <c r="H213">
        <v>109.62</v>
      </c>
      <c r="I213">
        <v>21.01</v>
      </c>
      <c r="J213">
        <v>53.27</v>
      </c>
      <c r="K213">
        <v>477.39</v>
      </c>
      <c r="L213">
        <v>-113.23</v>
      </c>
    </row>
    <row r="214" spans="1:12">
      <c r="A214" s="1">
        <v>45595</v>
      </c>
      <c r="B214" t="s">
        <v>12</v>
      </c>
      <c r="C214">
        <v>299.98</v>
      </c>
      <c r="D214">
        <v>63.22</v>
      </c>
      <c r="E214">
        <v>47.71</v>
      </c>
      <c r="F214">
        <v>58.59</v>
      </c>
      <c r="G214">
        <v>118.77</v>
      </c>
      <c r="H214">
        <v>164.68</v>
      </c>
      <c r="I214">
        <v>25.08</v>
      </c>
      <c r="J214">
        <v>43.32</v>
      </c>
      <c r="K214">
        <v>521.36</v>
      </c>
      <c r="L214">
        <v>-221.37</v>
      </c>
    </row>
    <row r="215" spans="1:12">
      <c r="A215" s="1">
        <v>45596</v>
      </c>
      <c r="B215" t="s">
        <v>13</v>
      </c>
      <c r="C215">
        <v>1031.96</v>
      </c>
      <c r="D215">
        <v>13.79</v>
      </c>
      <c r="E215">
        <v>73.45</v>
      </c>
      <c r="F215">
        <v>137</v>
      </c>
      <c r="G215">
        <v>92.35</v>
      </c>
      <c r="H215">
        <v>135.88999999999999</v>
      </c>
      <c r="I215">
        <v>31.96</v>
      </c>
      <c r="J215">
        <v>38.19</v>
      </c>
      <c r="K215">
        <v>522.64</v>
      </c>
      <c r="L215">
        <v>509.33</v>
      </c>
    </row>
    <row r="216" spans="1:12">
      <c r="A216" s="1">
        <v>45597</v>
      </c>
      <c r="B216" t="s">
        <v>12</v>
      </c>
      <c r="C216">
        <v>241.37</v>
      </c>
      <c r="D216">
        <v>78.47</v>
      </c>
      <c r="E216">
        <v>31.97</v>
      </c>
      <c r="F216">
        <v>53.19</v>
      </c>
      <c r="G216">
        <v>118.3</v>
      </c>
      <c r="H216">
        <v>155.71</v>
      </c>
      <c r="I216">
        <v>25.68</v>
      </c>
      <c r="J216">
        <v>24.77</v>
      </c>
      <c r="K216">
        <v>488.1</v>
      </c>
      <c r="L216">
        <v>-246.73</v>
      </c>
    </row>
    <row r="217" spans="1:12">
      <c r="A217" s="1">
        <v>45598</v>
      </c>
      <c r="B217" t="s">
        <v>13</v>
      </c>
      <c r="C217">
        <v>1052.6199999999999</v>
      </c>
      <c r="D217">
        <v>13.7</v>
      </c>
      <c r="E217">
        <v>74.78</v>
      </c>
      <c r="F217">
        <v>98.46</v>
      </c>
      <c r="G217">
        <v>76.290000000000006</v>
      </c>
      <c r="H217">
        <v>208.01</v>
      </c>
      <c r="I217">
        <v>17.18</v>
      </c>
      <c r="J217">
        <v>52.12</v>
      </c>
      <c r="K217">
        <v>540.54</v>
      </c>
      <c r="L217">
        <v>512.08000000000004</v>
      </c>
    </row>
    <row r="218" spans="1:12">
      <c r="A218" s="1">
        <v>45599</v>
      </c>
      <c r="B218" t="s">
        <v>12</v>
      </c>
      <c r="C218">
        <v>368.36</v>
      </c>
      <c r="D218">
        <v>88.38</v>
      </c>
      <c r="E218">
        <v>36.65</v>
      </c>
      <c r="F218">
        <v>48.01</v>
      </c>
      <c r="G218">
        <v>109.51</v>
      </c>
      <c r="H218">
        <v>140.9</v>
      </c>
      <c r="I218">
        <v>26.4</v>
      </c>
      <c r="J218">
        <v>10.6</v>
      </c>
      <c r="K218">
        <v>460.47</v>
      </c>
      <c r="L218">
        <v>-92.1</v>
      </c>
    </row>
    <row r="219" spans="1:12">
      <c r="A219" s="1">
        <v>45600</v>
      </c>
      <c r="B219" t="s">
        <v>13</v>
      </c>
      <c r="C219">
        <v>739.26</v>
      </c>
      <c r="D219">
        <v>9.66</v>
      </c>
      <c r="E219">
        <v>79.010000000000005</v>
      </c>
      <c r="F219">
        <v>131.32</v>
      </c>
      <c r="G219">
        <v>92.91</v>
      </c>
      <c r="H219">
        <v>164.09</v>
      </c>
      <c r="I219">
        <v>22.63</v>
      </c>
      <c r="J219">
        <v>57.43</v>
      </c>
      <c r="K219">
        <v>557.04999999999995</v>
      </c>
      <c r="L219">
        <v>182.22</v>
      </c>
    </row>
    <row r="220" spans="1:12">
      <c r="A220" s="1">
        <v>45601</v>
      </c>
      <c r="B220" t="s">
        <v>13</v>
      </c>
      <c r="C220">
        <v>764.53</v>
      </c>
      <c r="D220">
        <v>16.190000000000001</v>
      </c>
      <c r="E220">
        <v>79.5</v>
      </c>
      <c r="F220">
        <v>95.03</v>
      </c>
      <c r="G220">
        <v>98.79</v>
      </c>
      <c r="H220">
        <v>205.04</v>
      </c>
      <c r="I220">
        <v>-2.33</v>
      </c>
      <c r="J220">
        <v>50.17</v>
      </c>
      <c r="K220">
        <v>542.4</v>
      </c>
      <c r="L220">
        <v>222.13</v>
      </c>
    </row>
    <row r="221" spans="1:12">
      <c r="A221" s="1">
        <v>45602</v>
      </c>
      <c r="B221" t="s">
        <v>13</v>
      </c>
      <c r="C221">
        <v>819.18</v>
      </c>
      <c r="D221">
        <v>5.85</v>
      </c>
      <c r="E221">
        <v>70.22</v>
      </c>
      <c r="F221">
        <v>121.21</v>
      </c>
      <c r="G221">
        <v>92.25</v>
      </c>
      <c r="H221">
        <v>203.35</v>
      </c>
      <c r="I221">
        <v>36.51</v>
      </c>
      <c r="J221">
        <v>59.72</v>
      </c>
      <c r="K221">
        <v>589.12</v>
      </c>
      <c r="L221">
        <v>230.07</v>
      </c>
    </row>
    <row r="222" spans="1:12">
      <c r="A222" s="1">
        <v>45603</v>
      </c>
      <c r="B222" t="s">
        <v>13</v>
      </c>
      <c r="C222">
        <v>1277.99</v>
      </c>
      <c r="D222">
        <v>18.71</v>
      </c>
      <c r="E222">
        <v>61.51</v>
      </c>
      <c r="F222">
        <v>31.94</v>
      </c>
      <c r="G222">
        <v>90.08</v>
      </c>
      <c r="H222">
        <v>140.49</v>
      </c>
      <c r="I222">
        <v>41.54</v>
      </c>
      <c r="J222">
        <v>37.36</v>
      </c>
      <c r="K222">
        <v>421.63</v>
      </c>
      <c r="L222">
        <v>856.37</v>
      </c>
    </row>
    <row r="223" spans="1:12">
      <c r="A223" s="1">
        <v>45604</v>
      </c>
      <c r="B223" t="s">
        <v>12</v>
      </c>
      <c r="C223">
        <v>356.16</v>
      </c>
      <c r="D223">
        <v>75.510000000000005</v>
      </c>
      <c r="E223">
        <v>40.65</v>
      </c>
      <c r="F223">
        <v>88.9</v>
      </c>
      <c r="G223">
        <v>94.43</v>
      </c>
      <c r="H223">
        <v>155.84</v>
      </c>
      <c r="I223">
        <v>14.06</v>
      </c>
      <c r="J223">
        <v>14.16</v>
      </c>
      <c r="K223">
        <v>483.56</v>
      </c>
      <c r="L223">
        <v>-127.4</v>
      </c>
    </row>
    <row r="224" spans="1:12">
      <c r="A224" s="1">
        <v>45605</v>
      </c>
      <c r="B224" t="s">
        <v>13</v>
      </c>
      <c r="C224">
        <v>827.65</v>
      </c>
      <c r="D224">
        <v>14.81</v>
      </c>
      <c r="E224">
        <v>51.41</v>
      </c>
      <c r="F224">
        <v>59.23</v>
      </c>
      <c r="G224">
        <v>66.87</v>
      </c>
      <c r="H224">
        <v>167.09</v>
      </c>
      <c r="I224">
        <v>8.4600000000000009</v>
      </c>
      <c r="J224">
        <v>51.4</v>
      </c>
      <c r="K224">
        <v>419.28</v>
      </c>
      <c r="L224">
        <v>408.37</v>
      </c>
    </row>
    <row r="225" spans="1:12">
      <c r="A225" s="1">
        <v>45606</v>
      </c>
      <c r="B225" t="s">
        <v>13</v>
      </c>
      <c r="C225">
        <v>966.49</v>
      </c>
      <c r="D225">
        <v>7.71</v>
      </c>
      <c r="E225">
        <v>53.82</v>
      </c>
      <c r="F225">
        <v>57.44</v>
      </c>
      <c r="G225">
        <v>101.38</v>
      </c>
      <c r="H225">
        <v>216.92</v>
      </c>
      <c r="I225">
        <v>5.12</v>
      </c>
      <c r="J225">
        <v>41.73</v>
      </c>
      <c r="K225">
        <v>484.11</v>
      </c>
      <c r="L225">
        <v>482.38</v>
      </c>
    </row>
    <row r="226" spans="1:12">
      <c r="A226" s="1">
        <v>45607</v>
      </c>
      <c r="B226" t="s">
        <v>12</v>
      </c>
      <c r="C226">
        <v>341.99</v>
      </c>
      <c r="D226">
        <v>76.709999999999994</v>
      </c>
      <c r="E226">
        <v>43.2</v>
      </c>
      <c r="F226">
        <v>39.96</v>
      </c>
      <c r="G226">
        <v>102.02</v>
      </c>
      <c r="H226">
        <v>126.12</v>
      </c>
      <c r="I226">
        <v>28.61</v>
      </c>
      <c r="J226">
        <v>30.26</v>
      </c>
      <c r="K226">
        <v>446.88</v>
      </c>
      <c r="L226">
        <v>-104.89</v>
      </c>
    </row>
    <row r="227" spans="1:12">
      <c r="A227" s="1">
        <v>45608</v>
      </c>
      <c r="B227" t="s">
        <v>13</v>
      </c>
      <c r="C227">
        <v>1330.24</v>
      </c>
      <c r="D227">
        <v>14.7</v>
      </c>
      <c r="E227">
        <v>45.83</v>
      </c>
      <c r="F227">
        <v>34.590000000000003</v>
      </c>
      <c r="G227">
        <v>58.94</v>
      </c>
      <c r="H227">
        <v>114.56</v>
      </c>
      <c r="I227">
        <v>24.4</v>
      </c>
      <c r="J227">
        <v>47.63</v>
      </c>
      <c r="K227">
        <v>340.64</v>
      </c>
      <c r="L227">
        <v>989.59</v>
      </c>
    </row>
    <row r="228" spans="1:12">
      <c r="A228" s="1">
        <v>45609</v>
      </c>
      <c r="B228" t="s">
        <v>12</v>
      </c>
      <c r="C228">
        <v>270.94</v>
      </c>
      <c r="D228">
        <v>78.95</v>
      </c>
      <c r="E228">
        <v>32.75</v>
      </c>
      <c r="F228">
        <v>57.94</v>
      </c>
      <c r="G228">
        <v>150.31</v>
      </c>
      <c r="H228">
        <v>176.91</v>
      </c>
      <c r="I228">
        <v>17.850000000000001</v>
      </c>
      <c r="J228">
        <v>19.309999999999999</v>
      </c>
      <c r="K228">
        <v>534.01</v>
      </c>
      <c r="L228">
        <v>-263.07</v>
      </c>
    </row>
    <row r="229" spans="1:12">
      <c r="A229" s="1">
        <v>45610</v>
      </c>
      <c r="B229" t="s">
        <v>12</v>
      </c>
      <c r="C229">
        <v>242.41</v>
      </c>
      <c r="D229">
        <v>62.81</v>
      </c>
      <c r="E229">
        <v>36.83</v>
      </c>
      <c r="F229">
        <v>35.26</v>
      </c>
      <c r="G229">
        <v>106.72</v>
      </c>
      <c r="H229">
        <v>152.31</v>
      </c>
      <c r="I229">
        <v>18.2</v>
      </c>
      <c r="J229">
        <v>22.2</v>
      </c>
      <c r="K229">
        <v>434.32</v>
      </c>
      <c r="L229">
        <v>-191.91</v>
      </c>
    </row>
    <row r="230" spans="1:12">
      <c r="A230" s="1">
        <v>45611</v>
      </c>
      <c r="B230" t="s">
        <v>13</v>
      </c>
      <c r="C230">
        <v>983.73</v>
      </c>
      <c r="D230">
        <v>17.21</v>
      </c>
      <c r="E230">
        <v>38.19</v>
      </c>
      <c r="F230">
        <v>122.33</v>
      </c>
      <c r="G230">
        <v>93.03</v>
      </c>
      <c r="H230">
        <v>170.66</v>
      </c>
      <c r="I230">
        <v>28.37</v>
      </c>
      <c r="J230">
        <v>43.5</v>
      </c>
      <c r="K230">
        <v>513.29</v>
      </c>
      <c r="L230">
        <v>470.44</v>
      </c>
    </row>
    <row r="231" spans="1:12">
      <c r="A231" s="1">
        <v>45612</v>
      </c>
      <c r="B231" t="s">
        <v>13</v>
      </c>
      <c r="C231">
        <v>1140.6300000000001</v>
      </c>
      <c r="D231">
        <v>16.440000000000001</v>
      </c>
      <c r="E231">
        <v>47.75</v>
      </c>
      <c r="F231">
        <v>90.85</v>
      </c>
      <c r="G231">
        <v>72.13</v>
      </c>
      <c r="H231">
        <v>173.8</v>
      </c>
      <c r="I231">
        <v>21.7</v>
      </c>
      <c r="J231">
        <v>36.880000000000003</v>
      </c>
      <c r="K231">
        <v>459.54</v>
      </c>
      <c r="L231">
        <v>681.09</v>
      </c>
    </row>
    <row r="232" spans="1:12">
      <c r="A232" s="1">
        <v>45613</v>
      </c>
      <c r="B232" t="s">
        <v>12</v>
      </c>
      <c r="C232">
        <v>343.57</v>
      </c>
      <c r="D232">
        <v>51.18</v>
      </c>
      <c r="E232">
        <v>31.77</v>
      </c>
      <c r="F232">
        <v>56.86</v>
      </c>
      <c r="G232">
        <v>114</v>
      </c>
      <c r="H232">
        <v>119.17</v>
      </c>
      <c r="I232">
        <v>30.13</v>
      </c>
      <c r="J232">
        <v>19.61</v>
      </c>
      <c r="K232">
        <v>422.71</v>
      </c>
      <c r="L232">
        <v>-79.13</v>
      </c>
    </row>
    <row r="233" spans="1:12">
      <c r="A233" s="1">
        <v>45614</v>
      </c>
      <c r="B233" t="s">
        <v>13</v>
      </c>
      <c r="C233">
        <v>1143.8900000000001</v>
      </c>
      <c r="D233">
        <v>17.14</v>
      </c>
      <c r="E233">
        <v>47.08</v>
      </c>
      <c r="F233">
        <v>133.26</v>
      </c>
      <c r="G233">
        <v>71.13</v>
      </c>
      <c r="H233">
        <v>202.17</v>
      </c>
      <c r="I233">
        <v>31.01</v>
      </c>
      <c r="J233">
        <v>29.94</v>
      </c>
      <c r="K233">
        <v>531.71</v>
      </c>
      <c r="L233">
        <v>612.17999999999995</v>
      </c>
    </row>
    <row r="234" spans="1:12">
      <c r="A234" s="1">
        <v>45615</v>
      </c>
      <c r="B234" t="s">
        <v>13</v>
      </c>
      <c r="C234">
        <v>1228.49</v>
      </c>
      <c r="D234">
        <v>13.75</v>
      </c>
      <c r="E234">
        <v>65.77</v>
      </c>
      <c r="F234">
        <v>87.81</v>
      </c>
      <c r="G234">
        <v>92.31</v>
      </c>
      <c r="H234">
        <v>198.38</v>
      </c>
      <c r="I234">
        <v>29.14</v>
      </c>
      <c r="J234">
        <v>13.77</v>
      </c>
      <c r="K234">
        <v>500.94</v>
      </c>
      <c r="L234">
        <v>727.55</v>
      </c>
    </row>
    <row r="235" spans="1:12">
      <c r="A235" s="1">
        <v>45616</v>
      </c>
      <c r="B235" t="s">
        <v>12</v>
      </c>
      <c r="C235">
        <v>415.22</v>
      </c>
      <c r="D235">
        <v>53.38</v>
      </c>
      <c r="E235">
        <v>55.49</v>
      </c>
      <c r="F235">
        <v>77.53</v>
      </c>
      <c r="G235">
        <v>82.73</v>
      </c>
      <c r="H235">
        <v>137.68</v>
      </c>
      <c r="I235">
        <v>11.15</v>
      </c>
      <c r="J235">
        <v>27.42</v>
      </c>
      <c r="K235">
        <v>445.37</v>
      </c>
      <c r="L235">
        <v>-30.16</v>
      </c>
    </row>
    <row r="236" spans="1:12">
      <c r="A236" s="1">
        <v>45617</v>
      </c>
      <c r="B236" t="s">
        <v>12</v>
      </c>
      <c r="C236">
        <v>334.6</v>
      </c>
      <c r="D236">
        <v>77.8</v>
      </c>
      <c r="E236">
        <v>59.65</v>
      </c>
      <c r="F236">
        <v>82.91</v>
      </c>
      <c r="G236">
        <v>95.95</v>
      </c>
      <c r="H236">
        <v>143.72</v>
      </c>
      <c r="I236">
        <v>6.53</v>
      </c>
      <c r="J236">
        <v>20.329999999999998</v>
      </c>
      <c r="K236">
        <v>486.9</v>
      </c>
      <c r="L236">
        <v>-152.30000000000001</v>
      </c>
    </row>
    <row r="237" spans="1:12">
      <c r="A237" s="1">
        <v>45618</v>
      </c>
      <c r="B237" t="s">
        <v>12</v>
      </c>
      <c r="C237">
        <v>398.24</v>
      </c>
      <c r="D237">
        <v>86.16</v>
      </c>
      <c r="E237">
        <v>21.48</v>
      </c>
      <c r="F237">
        <v>43.15</v>
      </c>
      <c r="G237">
        <v>109.34</v>
      </c>
      <c r="H237">
        <v>158.4</v>
      </c>
      <c r="I237">
        <v>13.52</v>
      </c>
      <c r="J237">
        <v>35.090000000000003</v>
      </c>
      <c r="K237">
        <v>467.15</v>
      </c>
      <c r="L237">
        <v>-68.91</v>
      </c>
    </row>
    <row r="238" spans="1:12">
      <c r="A238" s="1">
        <v>45619</v>
      </c>
      <c r="B238" t="s">
        <v>13</v>
      </c>
      <c r="C238">
        <v>855.23</v>
      </c>
      <c r="D238">
        <v>14.93</v>
      </c>
      <c r="E238">
        <v>70.930000000000007</v>
      </c>
      <c r="F238">
        <v>80.19</v>
      </c>
      <c r="G238">
        <v>86.27</v>
      </c>
      <c r="H238">
        <v>166.16</v>
      </c>
      <c r="I238">
        <v>21.2</v>
      </c>
      <c r="J238">
        <v>34.450000000000003</v>
      </c>
      <c r="K238">
        <v>474.14</v>
      </c>
      <c r="L238">
        <v>381.1</v>
      </c>
    </row>
    <row r="239" spans="1:12">
      <c r="A239" s="1">
        <v>45620</v>
      </c>
      <c r="B239" t="s">
        <v>12</v>
      </c>
      <c r="C239">
        <v>337.06</v>
      </c>
      <c r="D239">
        <v>85.99</v>
      </c>
      <c r="E239">
        <v>48.41</v>
      </c>
      <c r="F239">
        <v>49.09</v>
      </c>
      <c r="G239">
        <v>127.42</v>
      </c>
      <c r="H239">
        <v>139.99</v>
      </c>
      <c r="I239">
        <v>29.38</v>
      </c>
      <c r="J239">
        <v>34.44</v>
      </c>
      <c r="K239">
        <v>514.72</v>
      </c>
      <c r="L239">
        <v>-177.66</v>
      </c>
    </row>
    <row r="240" spans="1:12">
      <c r="A240" s="1">
        <v>45621</v>
      </c>
      <c r="B240" t="s">
        <v>12</v>
      </c>
      <c r="C240">
        <v>344.63</v>
      </c>
      <c r="D240">
        <v>74.48</v>
      </c>
      <c r="E240">
        <v>16.440000000000001</v>
      </c>
      <c r="F240">
        <v>32.46</v>
      </c>
      <c r="G240">
        <v>80.150000000000006</v>
      </c>
      <c r="H240">
        <v>154.29</v>
      </c>
      <c r="I240">
        <v>33.86</v>
      </c>
      <c r="J240">
        <v>56.78</v>
      </c>
      <c r="K240">
        <v>448.45</v>
      </c>
      <c r="L240">
        <v>-103.82</v>
      </c>
    </row>
    <row r="241" spans="1:12">
      <c r="A241" s="1">
        <v>45622</v>
      </c>
      <c r="B241" t="s">
        <v>12</v>
      </c>
      <c r="C241">
        <v>381.9</v>
      </c>
      <c r="D241">
        <v>75.010000000000005</v>
      </c>
      <c r="E241">
        <v>12.98</v>
      </c>
      <c r="F241">
        <v>44.15</v>
      </c>
      <c r="G241">
        <v>90.31</v>
      </c>
      <c r="H241">
        <v>131.37</v>
      </c>
      <c r="I241">
        <v>18.649999999999999</v>
      </c>
      <c r="J241">
        <v>24.33</v>
      </c>
      <c r="K241">
        <v>396.81</v>
      </c>
      <c r="L241">
        <v>-14.91</v>
      </c>
    </row>
    <row r="242" spans="1:12">
      <c r="A242" s="1">
        <v>45623</v>
      </c>
      <c r="B242" t="s">
        <v>12</v>
      </c>
      <c r="C242">
        <v>251.04</v>
      </c>
      <c r="D242">
        <v>77.48</v>
      </c>
      <c r="E242">
        <v>23.91</v>
      </c>
      <c r="F242">
        <v>59.78</v>
      </c>
      <c r="G242">
        <v>161.85</v>
      </c>
      <c r="H242">
        <v>122.42</v>
      </c>
      <c r="I242">
        <v>-0.24</v>
      </c>
      <c r="J242">
        <v>26.57</v>
      </c>
      <c r="K242">
        <v>471.77</v>
      </c>
      <c r="L242">
        <v>-220.73</v>
      </c>
    </row>
    <row r="243" spans="1:12">
      <c r="A243" s="1">
        <v>45624</v>
      </c>
      <c r="B243" t="s">
        <v>13</v>
      </c>
      <c r="C243">
        <v>1170.19</v>
      </c>
      <c r="D243">
        <v>24.79</v>
      </c>
      <c r="E243">
        <v>35.409999999999997</v>
      </c>
      <c r="F243">
        <v>94.9</v>
      </c>
      <c r="G243">
        <v>85.69</v>
      </c>
      <c r="H243">
        <v>166.29</v>
      </c>
      <c r="I243">
        <v>45.8</v>
      </c>
      <c r="J243">
        <v>17.46</v>
      </c>
      <c r="K243">
        <v>470.34</v>
      </c>
      <c r="L243">
        <v>699.85</v>
      </c>
    </row>
    <row r="244" spans="1:12">
      <c r="A244" s="1">
        <v>45625</v>
      </c>
      <c r="B244" t="s">
        <v>13</v>
      </c>
      <c r="C244">
        <v>1000.75</v>
      </c>
      <c r="D244">
        <v>17.34</v>
      </c>
      <c r="E244">
        <v>81.72</v>
      </c>
      <c r="F244">
        <v>82.94</v>
      </c>
      <c r="G244">
        <v>101.16</v>
      </c>
      <c r="H244">
        <v>156.29</v>
      </c>
      <c r="I244">
        <v>24.42</v>
      </c>
      <c r="J244">
        <v>34.85</v>
      </c>
      <c r="K244">
        <v>498.72</v>
      </c>
      <c r="L244">
        <v>502.03</v>
      </c>
    </row>
    <row r="245" spans="1:12">
      <c r="A245" s="1">
        <v>45626</v>
      </c>
      <c r="B245" t="s">
        <v>12</v>
      </c>
      <c r="C245">
        <v>381.08</v>
      </c>
      <c r="D245">
        <v>66.3</v>
      </c>
      <c r="E245">
        <v>45.66</v>
      </c>
      <c r="F245">
        <v>54.41</v>
      </c>
      <c r="G245">
        <v>138.15</v>
      </c>
      <c r="H245">
        <v>148.46</v>
      </c>
      <c r="I245">
        <v>5.82</v>
      </c>
      <c r="J245">
        <v>45.14</v>
      </c>
      <c r="K245">
        <v>503.94</v>
      </c>
      <c r="L245">
        <v>-122.86</v>
      </c>
    </row>
    <row r="246" spans="1:12">
      <c r="A246" s="1">
        <v>45627</v>
      </c>
      <c r="B246" t="s">
        <v>13</v>
      </c>
      <c r="C246">
        <v>768.85</v>
      </c>
      <c r="D246">
        <v>11.73</v>
      </c>
      <c r="E246">
        <v>48.09</v>
      </c>
      <c r="F246">
        <v>121.23</v>
      </c>
      <c r="G246">
        <v>52.29</v>
      </c>
      <c r="H246">
        <v>279.82</v>
      </c>
      <c r="I246">
        <v>31.5</v>
      </c>
      <c r="J246">
        <v>43.35</v>
      </c>
      <c r="K246">
        <v>588.01</v>
      </c>
      <c r="L246">
        <v>180.84</v>
      </c>
    </row>
    <row r="247" spans="1:12">
      <c r="A247" s="1">
        <v>45628</v>
      </c>
      <c r="B247" t="s">
        <v>13</v>
      </c>
      <c r="C247">
        <v>939.02</v>
      </c>
      <c r="D247">
        <v>16.43</v>
      </c>
      <c r="E247">
        <v>70.42</v>
      </c>
      <c r="F247">
        <v>99.36</v>
      </c>
      <c r="G247">
        <v>106.11</v>
      </c>
      <c r="H247">
        <v>173.14</v>
      </c>
      <c r="I247">
        <v>20.22</v>
      </c>
      <c r="J247">
        <v>37.729999999999997</v>
      </c>
      <c r="K247">
        <v>523.41</v>
      </c>
      <c r="L247">
        <v>415.61</v>
      </c>
    </row>
    <row r="248" spans="1:12">
      <c r="A248" s="1">
        <v>45629</v>
      </c>
      <c r="B248" t="s">
        <v>13</v>
      </c>
      <c r="C248">
        <v>911.02</v>
      </c>
      <c r="D248">
        <v>20.67</v>
      </c>
      <c r="E248">
        <v>71.87</v>
      </c>
      <c r="F248">
        <v>-8.2100000000000009</v>
      </c>
      <c r="G248">
        <v>108.12</v>
      </c>
      <c r="H248">
        <v>176.82</v>
      </c>
      <c r="I248">
        <v>21.83</v>
      </c>
      <c r="J248">
        <v>34.17</v>
      </c>
      <c r="K248">
        <v>425.27</v>
      </c>
      <c r="L248">
        <v>485.75</v>
      </c>
    </row>
    <row r="249" spans="1:12">
      <c r="A249" s="1">
        <v>45630</v>
      </c>
      <c r="B249" t="s">
        <v>12</v>
      </c>
      <c r="C249">
        <v>406.21</v>
      </c>
      <c r="D249">
        <v>79.48</v>
      </c>
      <c r="E249">
        <v>28.41</v>
      </c>
      <c r="F249">
        <v>63.14</v>
      </c>
      <c r="G249">
        <v>85.71</v>
      </c>
      <c r="H249">
        <v>108.61</v>
      </c>
      <c r="I249">
        <v>14.99</v>
      </c>
      <c r="J249">
        <v>40.35</v>
      </c>
      <c r="K249">
        <v>420.68</v>
      </c>
      <c r="L249">
        <v>-14.47</v>
      </c>
    </row>
    <row r="250" spans="1:12">
      <c r="A250" s="1">
        <v>45631</v>
      </c>
      <c r="B250" t="s">
        <v>13</v>
      </c>
      <c r="C250">
        <v>1140.6300000000001</v>
      </c>
      <c r="D250">
        <v>17.57</v>
      </c>
      <c r="E250">
        <v>74.5</v>
      </c>
      <c r="F250">
        <v>95.49</v>
      </c>
      <c r="G250">
        <v>82.17</v>
      </c>
      <c r="H250">
        <v>185.12</v>
      </c>
      <c r="I250">
        <v>29.2</v>
      </c>
      <c r="J250">
        <v>51.31</v>
      </c>
      <c r="K250">
        <v>535.36</v>
      </c>
      <c r="L250">
        <v>605.27</v>
      </c>
    </row>
    <row r="251" spans="1:12">
      <c r="A251" s="1">
        <v>45632</v>
      </c>
      <c r="B251" t="s">
        <v>12</v>
      </c>
      <c r="C251">
        <v>409.45</v>
      </c>
      <c r="D251">
        <v>77.08</v>
      </c>
      <c r="E251">
        <v>45.27</v>
      </c>
      <c r="F251">
        <v>76.400000000000006</v>
      </c>
      <c r="G251">
        <v>109.34</v>
      </c>
      <c r="H251">
        <v>123.54</v>
      </c>
      <c r="I251">
        <v>18.7</v>
      </c>
      <c r="J251">
        <v>21.06</v>
      </c>
      <c r="K251">
        <v>471.4</v>
      </c>
      <c r="L251">
        <v>-61.95</v>
      </c>
    </row>
    <row r="252" spans="1:12">
      <c r="A252" s="1">
        <v>45633</v>
      </c>
      <c r="B252" t="s">
        <v>13</v>
      </c>
      <c r="C252">
        <v>814.96</v>
      </c>
      <c r="D252">
        <v>14.28</v>
      </c>
      <c r="E252">
        <v>44.15</v>
      </c>
      <c r="F252">
        <v>70.760000000000005</v>
      </c>
      <c r="G252">
        <v>57.13</v>
      </c>
      <c r="H252">
        <v>177.47</v>
      </c>
      <c r="I252">
        <v>22.01</v>
      </c>
      <c r="J252">
        <v>27.74</v>
      </c>
      <c r="K252">
        <v>413.54</v>
      </c>
      <c r="L252">
        <v>401.43</v>
      </c>
    </row>
    <row r="253" spans="1:12">
      <c r="A253" s="1">
        <v>45634</v>
      </c>
      <c r="B253" t="s">
        <v>12</v>
      </c>
      <c r="C253">
        <v>382.96</v>
      </c>
      <c r="D253">
        <v>79.38</v>
      </c>
      <c r="E253">
        <v>15.89</v>
      </c>
      <c r="F253">
        <v>39.75</v>
      </c>
      <c r="G253">
        <v>90.77</v>
      </c>
      <c r="H253">
        <v>121.8</v>
      </c>
      <c r="I253">
        <v>26.64</v>
      </c>
      <c r="J253">
        <v>27.67</v>
      </c>
      <c r="K253">
        <v>401.89</v>
      </c>
      <c r="L253">
        <v>-18.93</v>
      </c>
    </row>
    <row r="254" spans="1:12">
      <c r="A254" s="1">
        <v>45635</v>
      </c>
      <c r="B254" t="s">
        <v>13</v>
      </c>
      <c r="C254">
        <v>897.1</v>
      </c>
      <c r="D254">
        <v>4.9800000000000004</v>
      </c>
      <c r="E254">
        <v>72.709999999999994</v>
      </c>
      <c r="F254">
        <v>42.82</v>
      </c>
      <c r="G254">
        <v>96.2</v>
      </c>
      <c r="H254">
        <v>179.71</v>
      </c>
      <c r="I254">
        <v>34.25</v>
      </c>
      <c r="J254">
        <v>20.37</v>
      </c>
      <c r="K254">
        <v>451.03</v>
      </c>
      <c r="L254">
        <v>446.07</v>
      </c>
    </row>
    <row r="255" spans="1:12">
      <c r="A255" s="1">
        <v>45636</v>
      </c>
      <c r="B255" t="s">
        <v>12</v>
      </c>
      <c r="C255">
        <v>199.02</v>
      </c>
      <c r="D255">
        <v>71.84</v>
      </c>
      <c r="E255">
        <v>67.010000000000005</v>
      </c>
      <c r="F255">
        <v>79.78</v>
      </c>
      <c r="G255">
        <v>115.24</v>
      </c>
      <c r="H255">
        <v>135.25</v>
      </c>
      <c r="I255">
        <v>26.46</v>
      </c>
      <c r="J255">
        <v>18.32</v>
      </c>
      <c r="K255">
        <v>513.89</v>
      </c>
      <c r="L255">
        <v>-314.87</v>
      </c>
    </row>
    <row r="256" spans="1:12">
      <c r="A256" s="1">
        <v>45637</v>
      </c>
      <c r="B256" t="s">
        <v>13</v>
      </c>
      <c r="C256">
        <v>1045.27</v>
      </c>
      <c r="D256">
        <v>17.53</v>
      </c>
      <c r="E256">
        <v>81.2</v>
      </c>
      <c r="F256">
        <v>162.79</v>
      </c>
      <c r="G256">
        <v>102.85</v>
      </c>
      <c r="H256">
        <v>152.19</v>
      </c>
      <c r="I256">
        <v>21.77</v>
      </c>
      <c r="J256">
        <v>13.46</v>
      </c>
      <c r="K256">
        <v>551.79</v>
      </c>
      <c r="L256">
        <v>493.48</v>
      </c>
    </row>
    <row r="257" spans="1:12">
      <c r="A257" s="1">
        <v>45638</v>
      </c>
      <c r="B257" t="s">
        <v>12</v>
      </c>
      <c r="C257">
        <v>315.26</v>
      </c>
      <c r="D257">
        <v>65.91</v>
      </c>
      <c r="E257">
        <v>32.14</v>
      </c>
      <c r="F257">
        <v>58.05</v>
      </c>
      <c r="G257">
        <v>89.44</v>
      </c>
      <c r="H257">
        <v>183.63</v>
      </c>
      <c r="I257">
        <v>20</v>
      </c>
      <c r="J257">
        <v>29.89</v>
      </c>
      <c r="K257">
        <v>479.05</v>
      </c>
      <c r="L257">
        <v>-163.79</v>
      </c>
    </row>
    <row r="258" spans="1:12">
      <c r="A258" s="1">
        <v>45639</v>
      </c>
      <c r="B258" t="s">
        <v>12</v>
      </c>
      <c r="C258">
        <v>333.61</v>
      </c>
      <c r="D258">
        <v>71.55</v>
      </c>
      <c r="E258">
        <v>52.38</v>
      </c>
      <c r="F258">
        <v>37.659999999999997</v>
      </c>
      <c r="G258">
        <v>93.55</v>
      </c>
      <c r="H258">
        <v>140.88999999999999</v>
      </c>
      <c r="I258">
        <v>9.23</v>
      </c>
      <c r="J258">
        <v>20.170000000000002</v>
      </c>
      <c r="K258">
        <v>425.42</v>
      </c>
      <c r="L258">
        <v>-91.82</v>
      </c>
    </row>
    <row r="259" spans="1:12">
      <c r="A259" s="1">
        <v>45640</v>
      </c>
      <c r="B259" t="s">
        <v>13</v>
      </c>
      <c r="C259">
        <v>854.76</v>
      </c>
      <c r="D259">
        <v>19.37</v>
      </c>
      <c r="E259">
        <v>65.25</v>
      </c>
      <c r="F259">
        <v>85.81</v>
      </c>
      <c r="G259">
        <v>112.02</v>
      </c>
      <c r="H259">
        <v>165.19</v>
      </c>
      <c r="I259">
        <v>25.51</v>
      </c>
      <c r="J259">
        <v>38.450000000000003</v>
      </c>
      <c r="K259">
        <v>511.61</v>
      </c>
      <c r="L259">
        <v>343.15</v>
      </c>
    </row>
    <row r="260" spans="1:12">
      <c r="A260" s="1">
        <v>45641</v>
      </c>
      <c r="B260" t="s">
        <v>12</v>
      </c>
      <c r="C260">
        <v>363.27</v>
      </c>
      <c r="D260">
        <v>64.17</v>
      </c>
      <c r="E260">
        <v>3.42</v>
      </c>
      <c r="F260">
        <v>52.31</v>
      </c>
      <c r="G260">
        <v>145.57</v>
      </c>
      <c r="H260">
        <v>177.79</v>
      </c>
      <c r="I260">
        <v>27.72</v>
      </c>
      <c r="J260">
        <v>44.83</v>
      </c>
      <c r="K260">
        <v>515.82000000000005</v>
      </c>
      <c r="L260">
        <v>-152.55000000000001</v>
      </c>
    </row>
    <row r="261" spans="1:12">
      <c r="A261" s="1">
        <v>45642</v>
      </c>
      <c r="B261" t="s">
        <v>12</v>
      </c>
      <c r="C261">
        <v>354.43</v>
      </c>
      <c r="D261">
        <v>71.97</v>
      </c>
      <c r="E261">
        <v>30.74</v>
      </c>
      <c r="F261">
        <v>48.68</v>
      </c>
      <c r="G261">
        <v>125.39</v>
      </c>
      <c r="H261">
        <v>186.12</v>
      </c>
      <c r="I261">
        <v>18.88</v>
      </c>
      <c r="J261">
        <v>24.6</v>
      </c>
      <c r="K261">
        <v>506.38</v>
      </c>
      <c r="L261">
        <v>-151.94999999999999</v>
      </c>
    </row>
    <row r="262" spans="1:12">
      <c r="A262" s="1">
        <v>45643</v>
      </c>
      <c r="B262" t="s">
        <v>12</v>
      </c>
      <c r="C262">
        <v>350.03</v>
      </c>
      <c r="D262">
        <v>76.010000000000005</v>
      </c>
      <c r="E262">
        <v>18.34</v>
      </c>
      <c r="F262">
        <v>9.08</v>
      </c>
      <c r="G262">
        <v>96.24</v>
      </c>
      <c r="H262">
        <v>113.38</v>
      </c>
      <c r="I262">
        <v>15.93</v>
      </c>
      <c r="J262">
        <v>28.23</v>
      </c>
      <c r="K262">
        <v>357.21</v>
      </c>
      <c r="L262">
        <v>-7.18</v>
      </c>
    </row>
    <row r="263" spans="1:12">
      <c r="A263" s="1">
        <v>45644</v>
      </c>
      <c r="B263" t="s">
        <v>13</v>
      </c>
      <c r="C263">
        <v>859.35</v>
      </c>
      <c r="D263">
        <v>22.26</v>
      </c>
      <c r="E263">
        <v>66.53</v>
      </c>
      <c r="F263">
        <v>89.01</v>
      </c>
      <c r="G263">
        <v>107.44</v>
      </c>
      <c r="H263">
        <v>130.13999999999999</v>
      </c>
      <c r="I263">
        <v>31.35</v>
      </c>
      <c r="J263">
        <v>38.86</v>
      </c>
      <c r="K263">
        <v>485.61</v>
      </c>
      <c r="L263">
        <v>373.74</v>
      </c>
    </row>
    <row r="264" spans="1:12">
      <c r="A264" s="1">
        <v>45645</v>
      </c>
      <c r="B264" t="s">
        <v>13</v>
      </c>
      <c r="C264">
        <v>1084.0999999999999</v>
      </c>
      <c r="D264">
        <v>9.64</v>
      </c>
      <c r="E264">
        <v>28.92</v>
      </c>
      <c r="F264">
        <v>104.54</v>
      </c>
      <c r="G264">
        <v>102.53</v>
      </c>
      <c r="H264">
        <v>138.43</v>
      </c>
      <c r="I264">
        <v>14.17</v>
      </c>
      <c r="J264">
        <v>56.88</v>
      </c>
      <c r="K264">
        <v>455.11</v>
      </c>
      <c r="L264">
        <v>628.98</v>
      </c>
    </row>
    <row r="265" spans="1:12">
      <c r="A265" s="1">
        <v>45646</v>
      </c>
      <c r="B265" t="s">
        <v>13</v>
      </c>
      <c r="C265">
        <v>712.12</v>
      </c>
      <c r="D265">
        <v>23.21</v>
      </c>
      <c r="E265">
        <v>41.99</v>
      </c>
      <c r="F265">
        <v>99.15</v>
      </c>
      <c r="G265">
        <v>88.43</v>
      </c>
      <c r="H265">
        <v>191.11</v>
      </c>
      <c r="I265">
        <v>17.100000000000001</v>
      </c>
      <c r="J265">
        <v>37.56</v>
      </c>
      <c r="K265">
        <v>498.55</v>
      </c>
      <c r="L265">
        <v>213.56</v>
      </c>
    </row>
    <row r="266" spans="1:12">
      <c r="A266" s="1">
        <v>45647</v>
      </c>
      <c r="B266" t="s">
        <v>12</v>
      </c>
      <c r="C266">
        <v>352.05</v>
      </c>
      <c r="D266">
        <v>59.98</v>
      </c>
      <c r="E266">
        <v>51.11</v>
      </c>
      <c r="F266">
        <v>44.74</v>
      </c>
      <c r="G266">
        <v>104.29</v>
      </c>
      <c r="H266">
        <v>120.17</v>
      </c>
      <c r="I266">
        <v>-0.5</v>
      </c>
      <c r="J266">
        <v>27.71</v>
      </c>
      <c r="K266">
        <v>407.49</v>
      </c>
      <c r="L266">
        <v>-55.44</v>
      </c>
    </row>
    <row r="267" spans="1:12">
      <c r="A267" s="1">
        <v>45648</v>
      </c>
      <c r="B267" t="s">
        <v>13</v>
      </c>
      <c r="C267">
        <v>1432.52</v>
      </c>
      <c r="D267">
        <v>18.920000000000002</v>
      </c>
      <c r="E267">
        <v>59.61</v>
      </c>
      <c r="F267">
        <v>72.11</v>
      </c>
      <c r="G267">
        <v>95.45</v>
      </c>
      <c r="H267">
        <v>189.15</v>
      </c>
      <c r="I267">
        <v>11.37</v>
      </c>
      <c r="J267">
        <v>56.71</v>
      </c>
      <c r="K267">
        <v>503.34</v>
      </c>
      <c r="L267">
        <v>929.19</v>
      </c>
    </row>
    <row r="268" spans="1:12">
      <c r="A268" s="1">
        <v>45649</v>
      </c>
      <c r="B268" t="s">
        <v>13</v>
      </c>
      <c r="C268">
        <v>1093.08</v>
      </c>
      <c r="D268">
        <v>18.59</v>
      </c>
      <c r="E268">
        <v>68.77</v>
      </c>
      <c r="F268">
        <v>80.59</v>
      </c>
      <c r="G268">
        <v>108.46</v>
      </c>
      <c r="H268">
        <v>190.71</v>
      </c>
      <c r="I268">
        <v>18.809999999999999</v>
      </c>
      <c r="J268">
        <v>31.4</v>
      </c>
      <c r="K268">
        <v>517.33000000000004</v>
      </c>
      <c r="L268">
        <v>575.75</v>
      </c>
    </row>
    <row r="269" spans="1:12">
      <c r="A269" s="1">
        <v>45650</v>
      </c>
      <c r="B269" t="s">
        <v>12</v>
      </c>
      <c r="C269">
        <v>355.09</v>
      </c>
      <c r="D269">
        <v>85.49</v>
      </c>
      <c r="E269">
        <v>21.41</v>
      </c>
      <c r="F269">
        <v>25.65</v>
      </c>
      <c r="G269">
        <v>114.12</v>
      </c>
      <c r="H269">
        <v>151.53</v>
      </c>
      <c r="I269">
        <v>21.39</v>
      </c>
      <c r="J269">
        <v>32.93</v>
      </c>
      <c r="K269">
        <v>452.51</v>
      </c>
      <c r="L269">
        <v>-97.42</v>
      </c>
    </row>
    <row r="270" spans="1:12">
      <c r="A270" s="1">
        <v>45651</v>
      </c>
      <c r="B270" t="s">
        <v>12</v>
      </c>
      <c r="C270">
        <v>338.84</v>
      </c>
      <c r="D270">
        <v>84.9</v>
      </c>
      <c r="E270">
        <v>15.99</v>
      </c>
      <c r="F270">
        <v>38.43</v>
      </c>
      <c r="G270">
        <v>107.42</v>
      </c>
      <c r="H270">
        <v>100.7</v>
      </c>
      <c r="I270">
        <v>18.59</v>
      </c>
      <c r="J270">
        <v>49.94</v>
      </c>
      <c r="K270">
        <v>415.97</v>
      </c>
      <c r="L270">
        <v>-77.13</v>
      </c>
    </row>
    <row r="271" spans="1:12">
      <c r="A271" s="1">
        <v>45652</v>
      </c>
      <c r="B271" t="s">
        <v>13</v>
      </c>
      <c r="C271">
        <v>954.18</v>
      </c>
      <c r="D271">
        <v>16.149999999999999</v>
      </c>
      <c r="E271">
        <v>34.799999999999997</v>
      </c>
      <c r="F271">
        <v>61.51</v>
      </c>
      <c r="G271">
        <v>87.5</v>
      </c>
      <c r="H271">
        <v>158.88</v>
      </c>
      <c r="I271">
        <v>33.53</v>
      </c>
      <c r="J271">
        <v>48.37</v>
      </c>
      <c r="K271">
        <v>440.74</v>
      </c>
      <c r="L271">
        <v>513.44000000000005</v>
      </c>
    </row>
    <row r="272" spans="1:12">
      <c r="A272" s="1">
        <v>45653</v>
      </c>
      <c r="B272" t="s">
        <v>13</v>
      </c>
      <c r="C272">
        <v>727.71</v>
      </c>
      <c r="D272">
        <v>16.23</v>
      </c>
      <c r="E272">
        <v>69.959999999999994</v>
      </c>
      <c r="F272">
        <v>114.2</v>
      </c>
      <c r="G272">
        <v>126.61</v>
      </c>
      <c r="H272">
        <v>134.47</v>
      </c>
      <c r="I272">
        <v>14.7</v>
      </c>
      <c r="J272">
        <v>21.14</v>
      </c>
      <c r="K272">
        <v>497.32</v>
      </c>
      <c r="L272">
        <v>230.39</v>
      </c>
    </row>
    <row r="273" spans="1:12">
      <c r="A273" s="1">
        <v>45654</v>
      </c>
      <c r="B273" t="s">
        <v>12</v>
      </c>
      <c r="C273">
        <v>338.3</v>
      </c>
      <c r="D273">
        <v>74.66</v>
      </c>
      <c r="E273">
        <v>54.81</v>
      </c>
      <c r="F273">
        <v>53.48</v>
      </c>
      <c r="G273">
        <v>102</v>
      </c>
      <c r="H273">
        <v>154.55000000000001</v>
      </c>
      <c r="I273">
        <v>13.32</v>
      </c>
      <c r="J273">
        <v>55.07</v>
      </c>
      <c r="K273">
        <v>507.9</v>
      </c>
      <c r="L273">
        <v>-169.61</v>
      </c>
    </row>
    <row r="274" spans="1:12">
      <c r="A274" s="1">
        <v>45655</v>
      </c>
      <c r="B274" t="s">
        <v>13</v>
      </c>
      <c r="C274">
        <v>628.47</v>
      </c>
      <c r="D274">
        <v>15.92</v>
      </c>
      <c r="E274">
        <v>100.47</v>
      </c>
      <c r="F274">
        <v>80.2</v>
      </c>
      <c r="G274">
        <v>91.2</v>
      </c>
      <c r="H274">
        <v>157.49</v>
      </c>
      <c r="I274">
        <v>20.38</v>
      </c>
      <c r="J274">
        <v>60.59</v>
      </c>
      <c r="K274">
        <v>526.26</v>
      </c>
      <c r="L274">
        <v>102.21</v>
      </c>
    </row>
    <row r="275" spans="1:12">
      <c r="A275" s="1">
        <v>45656</v>
      </c>
      <c r="B275" t="s">
        <v>13</v>
      </c>
      <c r="C275">
        <v>507.63</v>
      </c>
      <c r="D275">
        <v>22.67</v>
      </c>
      <c r="E275">
        <v>31.52</v>
      </c>
      <c r="F275">
        <v>72</v>
      </c>
      <c r="G275">
        <v>86.42</v>
      </c>
      <c r="H275">
        <v>190.6</v>
      </c>
      <c r="I275">
        <v>7.62</v>
      </c>
      <c r="J275">
        <v>46.93</v>
      </c>
      <c r="K275">
        <v>457.75</v>
      </c>
      <c r="L275">
        <v>49.88</v>
      </c>
    </row>
    <row r="276" spans="1:12">
      <c r="A276" s="1">
        <v>45657</v>
      </c>
      <c r="B276" t="s">
        <v>12</v>
      </c>
      <c r="C276">
        <v>451.22</v>
      </c>
      <c r="D276">
        <v>56.37</v>
      </c>
      <c r="E276">
        <v>42.85</v>
      </c>
      <c r="F276">
        <v>41.76</v>
      </c>
      <c r="G276">
        <v>120.65</v>
      </c>
      <c r="H276">
        <v>150.57</v>
      </c>
      <c r="I276">
        <v>14.87</v>
      </c>
      <c r="J276">
        <v>35.85</v>
      </c>
      <c r="K276">
        <v>462.92</v>
      </c>
      <c r="L276">
        <v>-11.7</v>
      </c>
    </row>
    <row r="277" spans="1:12">
      <c r="A277" s="1">
        <v>45658</v>
      </c>
      <c r="B277" t="s">
        <v>13</v>
      </c>
      <c r="C277">
        <v>1310.87</v>
      </c>
      <c r="D277">
        <v>14.05</v>
      </c>
      <c r="E277">
        <v>74.400000000000006</v>
      </c>
      <c r="F277">
        <v>41.2</v>
      </c>
      <c r="G277">
        <v>75.87</v>
      </c>
      <c r="H277">
        <v>186.53</v>
      </c>
      <c r="I277">
        <v>35.36</v>
      </c>
      <c r="J277">
        <v>45.33</v>
      </c>
      <c r="K277">
        <v>472.74</v>
      </c>
      <c r="L277">
        <v>838.13</v>
      </c>
    </row>
    <row r="278" spans="1:12">
      <c r="A278" s="1">
        <v>45659</v>
      </c>
      <c r="B278" t="s">
        <v>12</v>
      </c>
      <c r="C278">
        <v>334.35</v>
      </c>
      <c r="D278">
        <v>69.989999999999995</v>
      </c>
      <c r="E278">
        <v>21.24</v>
      </c>
      <c r="F278">
        <v>67.09</v>
      </c>
      <c r="G278">
        <v>132.06</v>
      </c>
      <c r="H278">
        <v>136.44</v>
      </c>
      <c r="I278">
        <v>16.239999999999998</v>
      </c>
      <c r="J278">
        <v>33.19</v>
      </c>
      <c r="K278">
        <v>476.25</v>
      </c>
      <c r="L278">
        <v>-141.91</v>
      </c>
    </row>
    <row r="279" spans="1:12">
      <c r="A279" s="1">
        <v>45660</v>
      </c>
      <c r="B279" t="s">
        <v>13</v>
      </c>
      <c r="C279">
        <v>862.66</v>
      </c>
      <c r="D279">
        <v>14.67</v>
      </c>
      <c r="E279">
        <v>101.99</v>
      </c>
      <c r="F279">
        <v>72.59</v>
      </c>
      <c r="G279">
        <v>87.83</v>
      </c>
      <c r="H279">
        <v>147.34</v>
      </c>
      <c r="I279">
        <v>28.7</v>
      </c>
      <c r="J279">
        <v>37.28</v>
      </c>
      <c r="K279">
        <v>490.4</v>
      </c>
      <c r="L279">
        <v>372.25</v>
      </c>
    </row>
    <row r="280" spans="1:12">
      <c r="A280" s="1">
        <v>45661</v>
      </c>
      <c r="B280" t="s">
        <v>12</v>
      </c>
      <c r="C280">
        <v>317.52999999999997</v>
      </c>
      <c r="D280">
        <v>83.21</v>
      </c>
      <c r="E280">
        <v>61.29</v>
      </c>
      <c r="F280">
        <v>42.99</v>
      </c>
      <c r="G280">
        <v>63.34</v>
      </c>
      <c r="H280">
        <v>180.23</v>
      </c>
      <c r="I280">
        <v>14.52</v>
      </c>
      <c r="J280">
        <v>39.49</v>
      </c>
      <c r="K280">
        <v>485.07</v>
      </c>
      <c r="L280">
        <v>-167.54</v>
      </c>
    </row>
    <row r="281" spans="1:12">
      <c r="A281" s="1">
        <v>45662</v>
      </c>
      <c r="B281" t="s">
        <v>13</v>
      </c>
      <c r="C281">
        <v>555.98</v>
      </c>
      <c r="D281">
        <v>19.46</v>
      </c>
      <c r="E281">
        <v>35.78</v>
      </c>
      <c r="F281">
        <v>101.92</v>
      </c>
      <c r="G281">
        <v>95.29</v>
      </c>
      <c r="H281">
        <v>136.61000000000001</v>
      </c>
      <c r="I281">
        <v>18.34</v>
      </c>
      <c r="J281">
        <v>50.29</v>
      </c>
      <c r="K281">
        <v>457.69</v>
      </c>
      <c r="L281">
        <v>98.29</v>
      </c>
    </row>
    <row r="282" spans="1:12">
      <c r="A282" s="1">
        <v>45663</v>
      </c>
      <c r="B282" t="s">
        <v>12</v>
      </c>
      <c r="C282">
        <v>355.29</v>
      </c>
      <c r="D282">
        <v>75.84</v>
      </c>
      <c r="E282">
        <v>69.650000000000006</v>
      </c>
      <c r="F282">
        <v>23.72</v>
      </c>
      <c r="G282">
        <v>150.43</v>
      </c>
      <c r="H282">
        <v>153.13</v>
      </c>
      <c r="I282">
        <v>12.81</v>
      </c>
      <c r="J282">
        <v>14.04</v>
      </c>
      <c r="K282">
        <v>499.61</v>
      </c>
      <c r="L282">
        <v>-144.32</v>
      </c>
    </row>
    <row r="283" spans="1:12">
      <c r="A283" s="1">
        <v>45664</v>
      </c>
      <c r="B283" t="s">
        <v>13</v>
      </c>
      <c r="C283">
        <v>912.18</v>
      </c>
      <c r="D283">
        <v>19.61</v>
      </c>
      <c r="E283">
        <v>57.45</v>
      </c>
      <c r="F283">
        <v>125.33</v>
      </c>
      <c r="G283">
        <v>65.98</v>
      </c>
      <c r="H283">
        <v>169.58</v>
      </c>
      <c r="I283">
        <v>10.73</v>
      </c>
      <c r="J283">
        <v>45.45</v>
      </c>
      <c r="K283">
        <v>494.13</v>
      </c>
      <c r="L283">
        <v>418.05</v>
      </c>
    </row>
    <row r="284" spans="1:12">
      <c r="A284" s="1">
        <v>45665</v>
      </c>
      <c r="B284" t="s">
        <v>12</v>
      </c>
      <c r="C284">
        <v>394.34</v>
      </c>
      <c r="D284">
        <v>65.790000000000006</v>
      </c>
      <c r="E284">
        <v>0.94</v>
      </c>
      <c r="F284">
        <v>58.98</v>
      </c>
      <c r="G284">
        <v>120.92</v>
      </c>
      <c r="H284">
        <v>162.13</v>
      </c>
      <c r="I284">
        <v>29.89</v>
      </c>
      <c r="J284">
        <v>17.149999999999999</v>
      </c>
      <c r="K284">
        <v>455.79</v>
      </c>
      <c r="L284">
        <v>-61.44</v>
      </c>
    </row>
    <row r="285" spans="1:12">
      <c r="A285" s="1">
        <v>45666</v>
      </c>
      <c r="B285" t="s">
        <v>13</v>
      </c>
      <c r="C285">
        <v>1086.04</v>
      </c>
      <c r="D285">
        <v>20.96</v>
      </c>
      <c r="E285">
        <v>24.43</v>
      </c>
      <c r="F285">
        <v>89.59</v>
      </c>
      <c r="G285">
        <v>84.92</v>
      </c>
      <c r="H285">
        <v>167.15</v>
      </c>
      <c r="I285">
        <v>25.13</v>
      </c>
      <c r="J285">
        <v>32.69</v>
      </c>
      <c r="K285">
        <v>444.86</v>
      </c>
      <c r="L285">
        <v>641.17999999999995</v>
      </c>
    </row>
    <row r="286" spans="1:12">
      <c r="A286" s="1">
        <v>45667</v>
      </c>
      <c r="B286" t="s">
        <v>13</v>
      </c>
      <c r="C286">
        <v>814.86</v>
      </c>
      <c r="D286">
        <v>15.17</v>
      </c>
      <c r="E286">
        <v>38.26</v>
      </c>
      <c r="F286">
        <v>47.43</v>
      </c>
      <c r="G286">
        <v>108.59</v>
      </c>
      <c r="H286">
        <v>129.79</v>
      </c>
      <c r="I286">
        <v>28</v>
      </c>
      <c r="J286">
        <v>46.94</v>
      </c>
      <c r="K286">
        <v>414.17</v>
      </c>
      <c r="L286">
        <v>400.69</v>
      </c>
    </row>
    <row r="287" spans="1:12">
      <c r="A287" s="1">
        <v>45668</v>
      </c>
      <c r="B287" t="s">
        <v>12</v>
      </c>
      <c r="C287">
        <v>263.70999999999998</v>
      </c>
      <c r="D287">
        <v>63.22</v>
      </c>
      <c r="E287">
        <v>57.91</v>
      </c>
      <c r="F287">
        <v>35.380000000000003</v>
      </c>
      <c r="G287">
        <v>98.39</v>
      </c>
      <c r="H287">
        <v>163.86</v>
      </c>
      <c r="I287">
        <v>26.27</v>
      </c>
      <c r="J287">
        <v>26.98</v>
      </c>
      <c r="K287">
        <v>472.01</v>
      </c>
      <c r="L287">
        <v>-208.3</v>
      </c>
    </row>
    <row r="288" spans="1:12">
      <c r="A288" s="1">
        <v>45669</v>
      </c>
      <c r="B288" t="s">
        <v>12</v>
      </c>
      <c r="C288">
        <v>320.12</v>
      </c>
      <c r="D288">
        <v>84.22</v>
      </c>
      <c r="E288">
        <v>66.08</v>
      </c>
      <c r="F288">
        <v>74.58</v>
      </c>
      <c r="G288">
        <v>112.13</v>
      </c>
      <c r="H288">
        <v>125.75</v>
      </c>
      <c r="I288">
        <v>13.36</v>
      </c>
      <c r="J288">
        <v>36.270000000000003</v>
      </c>
      <c r="K288">
        <v>512.4</v>
      </c>
      <c r="L288">
        <v>-192.27</v>
      </c>
    </row>
    <row r="289" spans="1:12">
      <c r="A289" s="1">
        <v>45670</v>
      </c>
      <c r="B289" t="s">
        <v>12</v>
      </c>
      <c r="C289">
        <v>370.92</v>
      </c>
      <c r="D289">
        <v>84.02</v>
      </c>
      <c r="E289">
        <v>49.76</v>
      </c>
      <c r="F289">
        <v>24.94</v>
      </c>
      <c r="G289">
        <v>136.30000000000001</v>
      </c>
      <c r="H289">
        <v>120.06</v>
      </c>
      <c r="I289">
        <v>16.93</v>
      </c>
      <c r="J289">
        <v>33</v>
      </c>
      <c r="K289">
        <v>465</v>
      </c>
      <c r="L289">
        <v>-94.08</v>
      </c>
    </row>
    <row r="290" spans="1:12">
      <c r="A290" s="1">
        <v>45671</v>
      </c>
      <c r="B290" t="s">
        <v>12</v>
      </c>
      <c r="C290">
        <v>449.78</v>
      </c>
      <c r="D290">
        <v>101.1</v>
      </c>
      <c r="E290">
        <v>49.1</v>
      </c>
      <c r="F290">
        <v>51.34</v>
      </c>
      <c r="G290">
        <v>123.36</v>
      </c>
      <c r="H290">
        <v>176.63</v>
      </c>
      <c r="I290">
        <v>17.43</v>
      </c>
      <c r="J290">
        <v>51.54</v>
      </c>
      <c r="K290">
        <v>570.51</v>
      </c>
      <c r="L290">
        <v>-120.72</v>
      </c>
    </row>
    <row r="291" spans="1:12">
      <c r="A291" s="1">
        <v>45672</v>
      </c>
      <c r="B291" t="s">
        <v>13</v>
      </c>
      <c r="C291">
        <v>996.01</v>
      </c>
      <c r="D291">
        <v>17.489999999999998</v>
      </c>
      <c r="E291">
        <v>73.319999999999993</v>
      </c>
      <c r="F291">
        <v>92.65</v>
      </c>
      <c r="G291">
        <v>111.78</v>
      </c>
      <c r="H291">
        <v>148.4</v>
      </c>
      <c r="I291">
        <v>16.98</v>
      </c>
      <c r="J291">
        <v>23.5</v>
      </c>
      <c r="K291">
        <v>484.1</v>
      </c>
      <c r="L291">
        <v>511.91</v>
      </c>
    </row>
    <row r="292" spans="1:12">
      <c r="A292" s="1">
        <v>45673</v>
      </c>
      <c r="B292" t="s">
        <v>12</v>
      </c>
      <c r="C292">
        <v>371.98</v>
      </c>
      <c r="D292">
        <v>77.790000000000006</v>
      </c>
      <c r="E292">
        <v>46.87</v>
      </c>
      <c r="F292">
        <v>88.49</v>
      </c>
      <c r="G292">
        <v>109.86</v>
      </c>
      <c r="H292">
        <v>170.06</v>
      </c>
      <c r="I292">
        <v>11.27</v>
      </c>
      <c r="J292">
        <v>25.35</v>
      </c>
      <c r="K292">
        <v>529.69000000000005</v>
      </c>
      <c r="L292">
        <v>-157.71</v>
      </c>
    </row>
    <row r="293" spans="1:12">
      <c r="A293" s="1">
        <v>45674</v>
      </c>
      <c r="B293" t="s">
        <v>13</v>
      </c>
      <c r="C293">
        <v>1089.1099999999999</v>
      </c>
      <c r="D293">
        <v>19.25</v>
      </c>
      <c r="E293">
        <v>54.12</v>
      </c>
      <c r="F293">
        <v>77.849999999999994</v>
      </c>
      <c r="G293">
        <v>64.64</v>
      </c>
      <c r="H293">
        <v>157.5</v>
      </c>
      <c r="I293">
        <v>30.01</v>
      </c>
      <c r="J293">
        <v>48.63</v>
      </c>
      <c r="K293">
        <v>452.01</v>
      </c>
      <c r="L293">
        <v>637.1</v>
      </c>
    </row>
    <row r="294" spans="1:12">
      <c r="A294" s="1">
        <v>45675</v>
      </c>
      <c r="B294" t="s">
        <v>13</v>
      </c>
      <c r="C294">
        <v>1050.1300000000001</v>
      </c>
      <c r="D294">
        <v>15.25</v>
      </c>
      <c r="E294">
        <v>60.14</v>
      </c>
      <c r="F294">
        <v>60.19</v>
      </c>
      <c r="G294">
        <v>108.98</v>
      </c>
      <c r="H294">
        <v>184.73</v>
      </c>
      <c r="I294">
        <v>26.43</v>
      </c>
      <c r="J294">
        <v>32.11</v>
      </c>
      <c r="K294">
        <v>487.83</v>
      </c>
      <c r="L294">
        <v>562.29999999999995</v>
      </c>
    </row>
    <row r="295" spans="1:12">
      <c r="A295" s="1">
        <v>45676</v>
      </c>
      <c r="B295" t="s">
        <v>12</v>
      </c>
      <c r="C295">
        <v>242.33</v>
      </c>
      <c r="D295">
        <v>80.97</v>
      </c>
      <c r="E295">
        <v>32.82</v>
      </c>
      <c r="F295">
        <v>37.74</v>
      </c>
      <c r="G295">
        <v>127.34</v>
      </c>
      <c r="H295">
        <v>138.24</v>
      </c>
      <c r="I295">
        <v>28.48</v>
      </c>
      <c r="J295">
        <v>37.4</v>
      </c>
      <c r="K295">
        <v>482.99</v>
      </c>
      <c r="L295">
        <v>-240.66</v>
      </c>
    </row>
    <row r="296" spans="1:12">
      <c r="A296" s="1">
        <v>45677</v>
      </c>
      <c r="B296" t="s">
        <v>13</v>
      </c>
      <c r="C296">
        <v>1086.71</v>
      </c>
      <c r="D296">
        <v>8.17</v>
      </c>
      <c r="E296">
        <v>84.24</v>
      </c>
      <c r="F296">
        <v>87.84</v>
      </c>
      <c r="G296">
        <v>87.61</v>
      </c>
      <c r="H296">
        <v>175.02</v>
      </c>
      <c r="I296">
        <v>6.01</v>
      </c>
      <c r="J296">
        <v>46.13</v>
      </c>
      <c r="K296">
        <v>495.02</v>
      </c>
      <c r="L296">
        <v>591.69000000000005</v>
      </c>
    </row>
    <row r="297" spans="1:12">
      <c r="A297" s="1">
        <v>45678</v>
      </c>
      <c r="B297" t="s">
        <v>13</v>
      </c>
      <c r="C297">
        <v>744.13</v>
      </c>
      <c r="D297">
        <v>8.24</v>
      </c>
      <c r="E297">
        <v>29.55</v>
      </c>
      <c r="F297">
        <v>113.38</v>
      </c>
      <c r="G297">
        <v>82.41</v>
      </c>
      <c r="H297">
        <v>223.68</v>
      </c>
      <c r="I297">
        <v>17.18</v>
      </c>
      <c r="J297">
        <v>14.39</v>
      </c>
      <c r="K297">
        <v>488.83</v>
      </c>
      <c r="L297">
        <v>255.29</v>
      </c>
    </row>
    <row r="298" spans="1:12">
      <c r="A298" s="1">
        <v>45679</v>
      </c>
      <c r="B298" t="s">
        <v>12</v>
      </c>
      <c r="C298">
        <v>294.17</v>
      </c>
      <c r="D298">
        <v>82.36</v>
      </c>
      <c r="E298">
        <v>37.659999999999997</v>
      </c>
      <c r="F298">
        <v>44.03</v>
      </c>
      <c r="G298">
        <v>114</v>
      </c>
      <c r="H298">
        <v>165.05</v>
      </c>
      <c r="I298">
        <v>28.94</v>
      </c>
      <c r="J298">
        <v>47.38</v>
      </c>
      <c r="K298">
        <v>519.42999999999995</v>
      </c>
      <c r="L298">
        <v>-225.26</v>
      </c>
    </row>
    <row r="299" spans="1:12">
      <c r="A299" s="1">
        <v>45680</v>
      </c>
      <c r="B299" t="s">
        <v>13</v>
      </c>
      <c r="C299">
        <v>878.05</v>
      </c>
      <c r="D299">
        <v>8.3699999999999992</v>
      </c>
      <c r="E299">
        <v>51.73</v>
      </c>
      <c r="F299">
        <v>87.81</v>
      </c>
      <c r="G299">
        <v>75.72</v>
      </c>
      <c r="H299">
        <v>136.5</v>
      </c>
      <c r="I299">
        <v>25.09</v>
      </c>
      <c r="J299">
        <v>39.270000000000003</v>
      </c>
      <c r="K299">
        <v>424.5</v>
      </c>
      <c r="L299">
        <v>453.55</v>
      </c>
    </row>
    <row r="300" spans="1:12">
      <c r="A300" s="1">
        <v>45681</v>
      </c>
      <c r="B300" t="s">
        <v>12</v>
      </c>
      <c r="C300">
        <v>351.64</v>
      </c>
      <c r="D300">
        <v>62.42</v>
      </c>
      <c r="E300">
        <v>36.54</v>
      </c>
      <c r="F300">
        <v>36.520000000000003</v>
      </c>
      <c r="G300">
        <v>132.25</v>
      </c>
      <c r="H300">
        <v>181.06</v>
      </c>
      <c r="I300">
        <v>5.23</v>
      </c>
      <c r="J300">
        <v>18.850000000000001</v>
      </c>
      <c r="K300">
        <v>472.86</v>
      </c>
      <c r="L300">
        <v>-121.22</v>
      </c>
    </row>
    <row r="301" spans="1:12">
      <c r="A301" s="1">
        <v>45682</v>
      </c>
      <c r="B301" t="s">
        <v>12</v>
      </c>
      <c r="C301">
        <v>275.17</v>
      </c>
      <c r="D301">
        <v>63.5</v>
      </c>
      <c r="E301">
        <v>38.75</v>
      </c>
      <c r="F301">
        <v>26.01</v>
      </c>
      <c r="G301">
        <v>86.95</v>
      </c>
      <c r="H301">
        <v>119.88</v>
      </c>
      <c r="I301">
        <v>21.66</v>
      </c>
      <c r="J301">
        <v>30.83</v>
      </c>
      <c r="K301">
        <v>387.58</v>
      </c>
      <c r="L301">
        <v>-112.41</v>
      </c>
    </row>
    <row r="302" spans="1:12">
      <c r="A302" s="1">
        <v>45683</v>
      </c>
      <c r="B302" t="s">
        <v>13</v>
      </c>
      <c r="C302">
        <v>805.65</v>
      </c>
      <c r="D302">
        <v>15.88</v>
      </c>
      <c r="E302">
        <v>49.07</v>
      </c>
      <c r="F302">
        <v>71.849999999999994</v>
      </c>
      <c r="G302">
        <v>128.47</v>
      </c>
      <c r="H302">
        <v>216.92</v>
      </c>
      <c r="I302">
        <v>10.3</v>
      </c>
      <c r="J302">
        <v>52.45</v>
      </c>
      <c r="K302">
        <v>544.94000000000005</v>
      </c>
      <c r="L302">
        <v>260.72000000000003</v>
      </c>
    </row>
    <row r="303" spans="1:12">
      <c r="A303" s="1">
        <v>45684</v>
      </c>
      <c r="B303" t="s">
        <v>13</v>
      </c>
      <c r="C303">
        <v>1112.28</v>
      </c>
      <c r="D303">
        <v>9.26</v>
      </c>
      <c r="E303">
        <v>76.38</v>
      </c>
      <c r="F303">
        <v>126.14</v>
      </c>
      <c r="G303">
        <v>72.55</v>
      </c>
      <c r="H303">
        <v>137.88999999999999</v>
      </c>
      <c r="I303">
        <v>31.16</v>
      </c>
      <c r="J303">
        <v>44.07</v>
      </c>
      <c r="K303">
        <v>497.44</v>
      </c>
      <c r="L303">
        <v>614.84</v>
      </c>
    </row>
    <row r="304" spans="1:12">
      <c r="A304" s="1">
        <v>45685</v>
      </c>
      <c r="B304" t="s">
        <v>12</v>
      </c>
      <c r="C304">
        <v>377.57</v>
      </c>
      <c r="D304">
        <v>73.41</v>
      </c>
      <c r="E304">
        <v>45.86</v>
      </c>
      <c r="F304">
        <v>28.47</v>
      </c>
      <c r="G304">
        <v>136.18</v>
      </c>
      <c r="H304">
        <v>185.09</v>
      </c>
      <c r="I304">
        <v>18.16</v>
      </c>
      <c r="J304">
        <v>29.48</v>
      </c>
      <c r="K304">
        <v>516.65</v>
      </c>
      <c r="L304">
        <v>-139.08000000000001</v>
      </c>
    </row>
    <row r="305" spans="1:12">
      <c r="A305" s="1">
        <v>45686</v>
      </c>
      <c r="B305" t="s">
        <v>12</v>
      </c>
      <c r="C305">
        <v>273.44</v>
      </c>
      <c r="D305">
        <v>75.14</v>
      </c>
      <c r="E305">
        <v>48.58</v>
      </c>
      <c r="F305">
        <v>53.76</v>
      </c>
      <c r="G305">
        <v>138.11000000000001</v>
      </c>
      <c r="H305">
        <v>139.97999999999999</v>
      </c>
      <c r="I305">
        <v>24.52</v>
      </c>
      <c r="J305">
        <v>17.760000000000002</v>
      </c>
      <c r="K305">
        <v>497.85</v>
      </c>
      <c r="L305">
        <v>-224.4</v>
      </c>
    </row>
    <row r="306" spans="1:12">
      <c r="A306" s="1">
        <v>45687</v>
      </c>
      <c r="B306" t="s">
        <v>12</v>
      </c>
      <c r="C306">
        <v>348.82</v>
      </c>
      <c r="D306">
        <v>68.260000000000005</v>
      </c>
      <c r="E306">
        <v>43.38</v>
      </c>
      <c r="F306">
        <v>47.61</v>
      </c>
      <c r="G306">
        <v>106.71</v>
      </c>
      <c r="H306">
        <v>174.78</v>
      </c>
      <c r="I306">
        <v>16.510000000000002</v>
      </c>
      <c r="J306">
        <v>10.72</v>
      </c>
      <c r="K306">
        <v>467.97</v>
      </c>
      <c r="L306">
        <v>-119.14</v>
      </c>
    </row>
    <row r="307" spans="1:12">
      <c r="A307" s="1">
        <v>45688</v>
      </c>
      <c r="B307" t="s">
        <v>12</v>
      </c>
      <c r="C307">
        <v>437.48</v>
      </c>
      <c r="D307">
        <v>83.81</v>
      </c>
      <c r="E307">
        <v>20.62</v>
      </c>
      <c r="F307">
        <v>68.790000000000006</v>
      </c>
      <c r="G307">
        <v>97.43</v>
      </c>
      <c r="H307">
        <v>157.9</v>
      </c>
      <c r="I307">
        <v>22.35</v>
      </c>
      <c r="J307">
        <v>27.19</v>
      </c>
      <c r="K307">
        <v>478.1</v>
      </c>
      <c r="L307">
        <v>-40.619999999999997</v>
      </c>
    </row>
    <row r="308" spans="1:12">
      <c r="A308" s="1">
        <v>45689</v>
      </c>
      <c r="B308" t="s">
        <v>13</v>
      </c>
      <c r="C308">
        <v>793.25</v>
      </c>
      <c r="D308">
        <v>11.55</v>
      </c>
      <c r="E308">
        <v>41.68</v>
      </c>
      <c r="F308">
        <v>55.05</v>
      </c>
      <c r="G308">
        <v>93.66</v>
      </c>
      <c r="H308">
        <v>144.94999999999999</v>
      </c>
      <c r="I308">
        <v>28.14</v>
      </c>
      <c r="J308">
        <v>62.31</v>
      </c>
      <c r="K308">
        <v>437.32</v>
      </c>
      <c r="L308">
        <v>355.93</v>
      </c>
    </row>
    <row r="309" spans="1:12">
      <c r="A309" s="1">
        <v>45690</v>
      </c>
      <c r="B309" t="s">
        <v>13</v>
      </c>
      <c r="C309">
        <v>833.99</v>
      </c>
      <c r="D309">
        <v>16.2</v>
      </c>
      <c r="E309">
        <v>69.989999999999995</v>
      </c>
      <c r="F309">
        <v>94.16</v>
      </c>
      <c r="G309">
        <v>96.52</v>
      </c>
      <c r="H309">
        <v>195.99</v>
      </c>
      <c r="I309">
        <v>26.34</v>
      </c>
      <c r="J309">
        <v>21.44</v>
      </c>
      <c r="K309">
        <v>520.64</v>
      </c>
      <c r="L309">
        <v>313.35000000000002</v>
      </c>
    </row>
    <row r="310" spans="1:12">
      <c r="A310" s="1">
        <v>45691</v>
      </c>
      <c r="B310" t="s">
        <v>12</v>
      </c>
      <c r="C310">
        <v>393.46</v>
      </c>
      <c r="D310">
        <v>78.87</v>
      </c>
      <c r="E310">
        <v>28.55</v>
      </c>
      <c r="F310">
        <v>55.76</v>
      </c>
      <c r="G310">
        <v>127.08</v>
      </c>
      <c r="H310">
        <v>143.72</v>
      </c>
      <c r="I310">
        <v>28.58</v>
      </c>
      <c r="J310">
        <v>58.37</v>
      </c>
      <c r="K310">
        <v>520.94000000000005</v>
      </c>
      <c r="L310">
        <v>-127.48</v>
      </c>
    </row>
    <row r="311" spans="1:12">
      <c r="A311" s="1">
        <v>45692</v>
      </c>
      <c r="B311" t="s">
        <v>12</v>
      </c>
      <c r="C311">
        <v>310.7</v>
      </c>
      <c r="D311">
        <v>56.19</v>
      </c>
      <c r="E311">
        <v>44.56</v>
      </c>
      <c r="F311">
        <v>69.430000000000007</v>
      </c>
      <c r="G311">
        <v>104.23</v>
      </c>
      <c r="H311">
        <v>193.6</v>
      </c>
      <c r="I311">
        <v>9.2899999999999991</v>
      </c>
      <c r="J311">
        <v>38.32</v>
      </c>
      <c r="K311">
        <v>515.61</v>
      </c>
      <c r="L311">
        <v>-204.91</v>
      </c>
    </row>
    <row r="312" spans="1:12">
      <c r="A312" s="1">
        <v>45693</v>
      </c>
      <c r="B312" t="s">
        <v>13</v>
      </c>
      <c r="C312">
        <v>828.83</v>
      </c>
      <c r="D312">
        <v>23.6</v>
      </c>
      <c r="E312">
        <v>99.85</v>
      </c>
      <c r="F312">
        <v>57</v>
      </c>
      <c r="G312">
        <v>84.01</v>
      </c>
      <c r="H312">
        <v>200.09</v>
      </c>
      <c r="I312">
        <v>18.52</v>
      </c>
      <c r="J312">
        <v>39.32</v>
      </c>
      <c r="K312">
        <v>522.38</v>
      </c>
      <c r="L312">
        <v>306.45</v>
      </c>
    </row>
    <row r="313" spans="1:12">
      <c r="A313" s="1">
        <v>45694</v>
      </c>
      <c r="B313" t="s">
        <v>13</v>
      </c>
      <c r="C313">
        <v>955.08</v>
      </c>
      <c r="D313">
        <v>5.4</v>
      </c>
      <c r="E313">
        <v>59.72</v>
      </c>
      <c r="F313">
        <v>59.31</v>
      </c>
      <c r="G313">
        <v>85.14</v>
      </c>
      <c r="H313">
        <v>220.53</v>
      </c>
      <c r="I313">
        <v>10.69</v>
      </c>
      <c r="J313">
        <v>52.2</v>
      </c>
      <c r="K313">
        <v>492.99</v>
      </c>
      <c r="L313">
        <v>462.09</v>
      </c>
    </row>
    <row r="314" spans="1:12">
      <c r="A314" s="1">
        <v>45695</v>
      </c>
      <c r="B314" t="s">
        <v>13</v>
      </c>
      <c r="C314">
        <v>894.21</v>
      </c>
      <c r="D314">
        <v>13.6</v>
      </c>
      <c r="E314">
        <v>75.81</v>
      </c>
      <c r="F314">
        <v>90.2</v>
      </c>
      <c r="G314">
        <v>106.41</v>
      </c>
      <c r="H314">
        <v>203.89</v>
      </c>
      <c r="I314">
        <v>19.02</v>
      </c>
      <c r="J314">
        <v>30.82</v>
      </c>
      <c r="K314">
        <v>539.74</v>
      </c>
      <c r="L314">
        <v>354.46</v>
      </c>
    </row>
    <row r="315" spans="1:12">
      <c r="A315" s="1">
        <v>45696</v>
      </c>
      <c r="B315" t="s">
        <v>12</v>
      </c>
      <c r="C315">
        <v>295.74</v>
      </c>
      <c r="D315">
        <v>61.75</v>
      </c>
      <c r="E315">
        <v>84.24</v>
      </c>
      <c r="F315">
        <v>79.89</v>
      </c>
      <c r="G315">
        <v>76.22</v>
      </c>
      <c r="H315">
        <v>110.33</v>
      </c>
      <c r="I315">
        <v>23.85</v>
      </c>
      <c r="J315">
        <v>36.57</v>
      </c>
      <c r="K315">
        <v>472.85</v>
      </c>
      <c r="L315">
        <v>-177.1</v>
      </c>
    </row>
    <row r="316" spans="1:12">
      <c r="A316" s="1">
        <v>45697</v>
      </c>
      <c r="B316" t="s">
        <v>12</v>
      </c>
      <c r="C316">
        <v>377.44</v>
      </c>
      <c r="D316">
        <v>67.45</v>
      </c>
      <c r="E316">
        <v>38.119999999999997</v>
      </c>
      <c r="F316">
        <v>61.56</v>
      </c>
      <c r="G316">
        <v>112.15</v>
      </c>
      <c r="H316">
        <v>83.42</v>
      </c>
      <c r="I316">
        <v>18.16</v>
      </c>
      <c r="J316">
        <v>19.78</v>
      </c>
      <c r="K316">
        <v>400.64</v>
      </c>
      <c r="L316">
        <v>-23.2</v>
      </c>
    </row>
    <row r="317" spans="1:12">
      <c r="A317" s="1">
        <v>45698</v>
      </c>
      <c r="B317" t="s">
        <v>12</v>
      </c>
      <c r="C317">
        <v>358.76</v>
      </c>
      <c r="D317">
        <v>99.85</v>
      </c>
      <c r="E317">
        <v>45.51</v>
      </c>
      <c r="F317">
        <v>48.73</v>
      </c>
      <c r="G317">
        <v>133.05000000000001</v>
      </c>
      <c r="H317">
        <v>164.48</v>
      </c>
      <c r="I317">
        <v>23.36</v>
      </c>
      <c r="J317">
        <v>37.28</v>
      </c>
      <c r="K317">
        <v>552.26</v>
      </c>
      <c r="L317">
        <v>-193.5</v>
      </c>
    </row>
    <row r="318" spans="1:12">
      <c r="A318" s="1">
        <v>45699</v>
      </c>
      <c r="B318" t="s">
        <v>12</v>
      </c>
      <c r="C318">
        <v>452.83</v>
      </c>
      <c r="D318">
        <v>58.69</v>
      </c>
      <c r="E318">
        <v>47.1</v>
      </c>
      <c r="F318">
        <v>36.47</v>
      </c>
      <c r="G318">
        <v>123.89</v>
      </c>
      <c r="H318">
        <v>122.44</v>
      </c>
      <c r="I318">
        <v>16.66</v>
      </c>
      <c r="J318">
        <v>26.46</v>
      </c>
      <c r="K318">
        <v>431.72</v>
      </c>
      <c r="L318">
        <v>21.11</v>
      </c>
    </row>
    <row r="319" spans="1:12">
      <c r="A319" s="1">
        <v>45700</v>
      </c>
      <c r="B319" t="s">
        <v>13</v>
      </c>
      <c r="C319">
        <v>1145.1600000000001</v>
      </c>
      <c r="D319">
        <v>19.59</v>
      </c>
      <c r="E319">
        <v>35.090000000000003</v>
      </c>
      <c r="F319">
        <v>81.650000000000006</v>
      </c>
      <c r="G319">
        <v>80.81</v>
      </c>
      <c r="H319">
        <v>125.95</v>
      </c>
      <c r="I319">
        <v>20.05</v>
      </c>
      <c r="J319">
        <v>35.369999999999997</v>
      </c>
      <c r="K319">
        <v>398.51</v>
      </c>
      <c r="L319">
        <v>746.66</v>
      </c>
    </row>
    <row r="320" spans="1:12">
      <c r="A320" s="1">
        <v>45701</v>
      </c>
      <c r="B320" t="s">
        <v>12</v>
      </c>
      <c r="C320">
        <v>471.34</v>
      </c>
      <c r="D320">
        <v>74.33</v>
      </c>
      <c r="E320">
        <v>19.34</v>
      </c>
      <c r="F320">
        <v>43.7</v>
      </c>
      <c r="G320">
        <v>135.53</v>
      </c>
      <c r="H320">
        <v>212.65</v>
      </c>
      <c r="I320">
        <v>7.31</v>
      </c>
      <c r="J320">
        <v>7.44</v>
      </c>
      <c r="K320">
        <v>500.31</v>
      </c>
      <c r="L320">
        <v>-28.97</v>
      </c>
    </row>
    <row r="321" spans="1:12">
      <c r="A321" s="1">
        <v>45702</v>
      </c>
      <c r="B321" t="s">
        <v>13</v>
      </c>
      <c r="C321">
        <v>1324.19</v>
      </c>
      <c r="D321">
        <v>16.95</v>
      </c>
      <c r="E321">
        <v>42.63</v>
      </c>
      <c r="F321">
        <v>96.04</v>
      </c>
      <c r="G321">
        <v>42.29</v>
      </c>
      <c r="H321">
        <v>170.12</v>
      </c>
      <c r="I321">
        <v>24.95</v>
      </c>
      <c r="J321">
        <v>53.86</v>
      </c>
      <c r="K321">
        <v>446.84</v>
      </c>
      <c r="L321">
        <v>877.35</v>
      </c>
    </row>
    <row r="322" spans="1:12">
      <c r="A322" s="1">
        <v>45703</v>
      </c>
      <c r="B322" t="s">
        <v>12</v>
      </c>
      <c r="C322">
        <v>299.31</v>
      </c>
      <c r="D322">
        <v>70.86</v>
      </c>
      <c r="E322">
        <v>26.12</v>
      </c>
      <c r="F322">
        <v>60.11</v>
      </c>
      <c r="G322">
        <v>87.62</v>
      </c>
      <c r="H322">
        <v>137.76</v>
      </c>
      <c r="I322">
        <v>12.03</v>
      </c>
      <c r="J322">
        <v>37.81</v>
      </c>
      <c r="K322">
        <v>432.3</v>
      </c>
      <c r="L322">
        <v>-133</v>
      </c>
    </row>
    <row r="323" spans="1:12">
      <c r="A323" s="1">
        <v>45704</v>
      </c>
      <c r="B323" t="s">
        <v>12</v>
      </c>
      <c r="C323">
        <v>392.92</v>
      </c>
      <c r="D323">
        <v>67.650000000000006</v>
      </c>
      <c r="E323">
        <v>40.57</v>
      </c>
      <c r="F323">
        <v>26.03</v>
      </c>
      <c r="G323">
        <v>102.51</v>
      </c>
      <c r="H323">
        <v>148.49</v>
      </c>
      <c r="I323">
        <v>40.97</v>
      </c>
      <c r="J323">
        <v>16.66</v>
      </c>
      <c r="K323">
        <v>442.88</v>
      </c>
      <c r="L323">
        <v>-49.96</v>
      </c>
    </row>
    <row r="324" spans="1:12">
      <c r="A324" s="1">
        <v>45705</v>
      </c>
      <c r="B324" t="s">
        <v>13</v>
      </c>
      <c r="C324">
        <v>1242.8399999999999</v>
      </c>
      <c r="D324">
        <v>19.98</v>
      </c>
      <c r="E324">
        <v>65.61</v>
      </c>
      <c r="F324">
        <v>132.76</v>
      </c>
      <c r="G324">
        <v>102.44</v>
      </c>
      <c r="H324">
        <v>183.62</v>
      </c>
      <c r="I324">
        <v>21.52</v>
      </c>
      <c r="J324">
        <v>58.35</v>
      </c>
      <c r="K324">
        <v>584.29</v>
      </c>
      <c r="L324">
        <v>658.54</v>
      </c>
    </row>
    <row r="325" spans="1:12">
      <c r="A325" s="1">
        <v>45706</v>
      </c>
      <c r="B325" t="s">
        <v>12</v>
      </c>
      <c r="C325">
        <v>404.82</v>
      </c>
      <c r="D325">
        <v>63.74</v>
      </c>
      <c r="E325">
        <v>20.21</v>
      </c>
      <c r="F325">
        <v>50.94</v>
      </c>
      <c r="G325">
        <v>90</v>
      </c>
      <c r="H325">
        <v>148.09</v>
      </c>
      <c r="I325">
        <v>29.9</v>
      </c>
      <c r="J325">
        <v>24.51</v>
      </c>
      <c r="K325">
        <v>427.4</v>
      </c>
      <c r="L325">
        <v>-22.58</v>
      </c>
    </row>
    <row r="326" spans="1:12">
      <c r="A326" s="1">
        <v>45707</v>
      </c>
      <c r="B326" t="s">
        <v>13</v>
      </c>
      <c r="C326">
        <v>941.44</v>
      </c>
      <c r="D326">
        <v>15.29</v>
      </c>
      <c r="E326">
        <v>76.97</v>
      </c>
      <c r="F326">
        <v>12.59</v>
      </c>
      <c r="G326">
        <v>82.87</v>
      </c>
      <c r="H326">
        <v>177.39</v>
      </c>
      <c r="I326">
        <v>32.799999999999997</v>
      </c>
      <c r="J326">
        <v>32.619999999999997</v>
      </c>
      <c r="K326">
        <v>430.54</v>
      </c>
      <c r="L326">
        <v>510.9</v>
      </c>
    </row>
    <row r="327" spans="1:12">
      <c r="A327" s="1">
        <v>45708</v>
      </c>
      <c r="B327" t="s">
        <v>13</v>
      </c>
      <c r="C327">
        <v>574.69000000000005</v>
      </c>
      <c r="D327">
        <v>18.100000000000001</v>
      </c>
      <c r="E327">
        <v>47.29</v>
      </c>
      <c r="F327">
        <v>44.31</v>
      </c>
      <c r="G327">
        <v>82.51</v>
      </c>
      <c r="H327">
        <v>163.54</v>
      </c>
      <c r="I327">
        <v>16.559999999999999</v>
      </c>
      <c r="J327">
        <v>6.92</v>
      </c>
      <c r="K327">
        <v>379.23</v>
      </c>
      <c r="L327">
        <v>195.46</v>
      </c>
    </row>
    <row r="328" spans="1:12">
      <c r="A328" s="1">
        <v>45709</v>
      </c>
      <c r="B328" t="s">
        <v>12</v>
      </c>
      <c r="C328">
        <v>394.85</v>
      </c>
      <c r="D328">
        <v>82.75</v>
      </c>
      <c r="E328">
        <v>49.77</v>
      </c>
      <c r="F328">
        <v>32.25</v>
      </c>
      <c r="G328">
        <v>104.96</v>
      </c>
      <c r="H328">
        <v>149.80000000000001</v>
      </c>
      <c r="I328">
        <v>24.79</v>
      </c>
      <c r="J328">
        <v>38.020000000000003</v>
      </c>
      <c r="K328">
        <v>482.35</v>
      </c>
      <c r="L328">
        <v>-87.49</v>
      </c>
    </row>
    <row r="329" spans="1:12">
      <c r="A329" s="1">
        <v>45710</v>
      </c>
      <c r="B329" t="s">
        <v>13</v>
      </c>
      <c r="C329">
        <v>803.17</v>
      </c>
      <c r="D329">
        <v>15.41</v>
      </c>
      <c r="E329">
        <v>69.150000000000006</v>
      </c>
      <c r="F329">
        <v>123.67</v>
      </c>
      <c r="G329">
        <v>109.09</v>
      </c>
      <c r="H329">
        <v>197.62</v>
      </c>
      <c r="I329">
        <v>22.75</v>
      </c>
      <c r="J329">
        <v>61.16</v>
      </c>
      <c r="K329">
        <v>598.85</v>
      </c>
      <c r="L329">
        <v>204.32</v>
      </c>
    </row>
    <row r="330" spans="1:12">
      <c r="A330" s="1">
        <v>45711</v>
      </c>
      <c r="B330" t="s">
        <v>12</v>
      </c>
      <c r="C330">
        <v>370.49</v>
      </c>
      <c r="D330">
        <v>61.39</v>
      </c>
      <c r="E330">
        <v>61.05</v>
      </c>
      <c r="F330">
        <v>68.959999999999994</v>
      </c>
      <c r="G330">
        <v>98.92</v>
      </c>
      <c r="H330">
        <v>135.62</v>
      </c>
      <c r="I330">
        <v>22.37</v>
      </c>
      <c r="J330">
        <v>35.56</v>
      </c>
      <c r="K330">
        <v>483.87</v>
      </c>
      <c r="L330">
        <v>-113.38</v>
      </c>
    </row>
    <row r="331" spans="1:12">
      <c r="A331" s="1">
        <v>45712</v>
      </c>
      <c r="B331" t="s">
        <v>13</v>
      </c>
      <c r="C331">
        <v>989.46</v>
      </c>
      <c r="D331">
        <v>16.559999999999999</v>
      </c>
      <c r="E331">
        <v>94</v>
      </c>
      <c r="F331">
        <v>112.15</v>
      </c>
      <c r="G331">
        <v>98.81</v>
      </c>
      <c r="H331">
        <v>202.95</v>
      </c>
      <c r="I331">
        <v>12.71</v>
      </c>
      <c r="J331">
        <v>45.97</v>
      </c>
      <c r="K331">
        <v>583.14</v>
      </c>
      <c r="L331">
        <v>406.32</v>
      </c>
    </row>
    <row r="332" spans="1:12">
      <c r="A332" s="1">
        <v>45713</v>
      </c>
      <c r="B332" t="s">
        <v>12</v>
      </c>
      <c r="C332">
        <v>440.47</v>
      </c>
      <c r="D332">
        <v>67.819999999999993</v>
      </c>
      <c r="E332">
        <v>27.29</v>
      </c>
      <c r="F332">
        <v>41.96</v>
      </c>
      <c r="G332">
        <v>82.76</v>
      </c>
      <c r="H332">
        <v>126.46</v>
      </c>
      <c r="I332">
        <v>17.04</v>
      </c>
      <c r="J332">
        <v>13.13</v>
      </c>
      <c r="K332">
        <v>376.45</v>
      </c>
      <c r="L332">
        <v>64.02</v>
      </c>
    </row>
    <row r="333" spans="1:12">
      <c r="A333" s="1">
        <v>45714</v>
      </c>
      <c r="B333" t="s">
        <v>13</v>
      </c>
      <c r="C333">
        <v>953.12</v>
      </c>
      <c r="D333">
        <v>19.510000000000002</v>
      </c>
      <c r="E333">
        <v>41.84</v>
      </c>
      <c r="F333">
        <v>125.58</v>
      </c>
      <c r="G333">
        <v>105.22</v>
      </c>
      <c r="H333">
        <v>206.07</v>
      </c>
      <c r="I333">
        <v>16.079999999999998</v>
      </c>
      <c r="J333">
        <v>52.82</v>
      </c>
      <c r="K333">
        <v>567.12</v>
      </c>
      <c r="L333">
        <v>386.01</v>
      </c>
    </row>
    <row r="334" spans="1:12">
      <c r="A334" s="1">
        <v>45715</v>
      </c>
      <c r="B334" t="s">
        <v>13</v>
      </c>
      <c r="C334">
        <v>731.61</v>
      </c>
      <c r="D334">
        <v>19.45</v>
      </c>
      <c r="E334">
        <v>63.44</v>
      </c>
      <c r="F334">
        <v>96.6</v>
      </c>
      <c r="G334">
        <v>71.489999999999995</v>
      </c>
      <c r="H334">
        <v>138.66999999999999</v>
      </c>
      <c r="I334">
        <v>27.38</v>
      </c>
      <c r="J334">
        <v>25.77</v>
      </c>
      <c r="K334">
        <v>442.8</v>
      </c>
      <c r="L334">
        <v>288.82</v>
      </c>
    </row>
    <row r="335" spans="1:12">
      <c r="A335" s="1">
        <v>45716</v>
      </c>
      <c r="B335" t="s">
        <v>12</v>
      </c>
      <c r="C335">
        <v>373.16</v>
      </c>
      <c r="D335">
        <v>56.33</v>
      </c>
      <c r="E335">
        <v>52.72</v>
      </c>
      <c r="F335">
        <v>30.35</v>
      </c>
      <c r="G335">
        <v>123.81</v>
      </c>
      <c r="H335">
        <v>168.77</v>
      </c>
      <c r="I335">
        <v>14.43</v>
      </c>
      <c r="J335">
        <v>36.979999999999997</v>
      </c>
      <c r="K335">
        <v>483.39</v>
      </c>
      <c r="L335">
        <v>-110.23</v>
      </c>
    </row>
    <row r="336" spans="1:12">
      <c r="A336" s="1">
        <v>45717</v>
      </c>
      <c r="B336" t="s">
        <v>13</v>
      </c>
      <c r="C336">
        <v>1002.09</v>
      </c>
      <c r="D336">
        <v>12.31</v>
      </c>
      <c r="E336">
        <v>39.83</v>
      </c>
      <c r="F336">
        <v>21.12</v>
      </c>
      <c r="G336">
        <v>101.99</v>
      </c>
      <c r="H336">
        <v>115.23</v>
      </c>
      <c r="I336">
        <v>22.86</v>
      </c>
      <c r="J336">
        <v>36.049999999999997</v>
      </c>
      <c r="K336">
        <v>349.39</v>
      </c>
      <c r="L336">
        <v>652.70000000000005</v>
      </c>
    </row>
    <row r="337" spans="1:12">
      <c r="A337" s="1">
        <v>45718</v>
      </c>
      <c r="B337" t="s">
        <v>13</v>
      </c>
      <c r="C337">
        <v>1085.83</v>
      </c>
      <c r="D337">
        <v>13.49</v>
      </c>
      <c r="E337">
        <v>53.41</v>
      </c>
      <c r="F337">
        <v>101.96</v>
      </c>
      <c r="G337">
        <v>101.7</v>
      </c>
      <c r="H337">
        <v>181.07</v>
      </c>
      <c r="I337">
        <v>26.22</v>
      </c>
      <c r="J337">
        <v>16.97</v>
      </c>
      <c r="K337">
        <v>494.81</v>
      </c>
      <c r="L337">
        <v>591.02</v>
      </c>
    </row>
    <row r="338" spans="1:12">
      <c r="A338" s="1">
        <v>45719</v>
      </c>
      <c r="B338" t="s">
        <v>12</v>
      </c>
      <c r="C338">
        <v>387.84</v>
      </c>
      <c r="D338">
        <v>76.12</v>
      </c>
      <c r="E338">
        <v>24.75</v>
      </c>
      <c r="F338">
        <v>50.12</v>
      </c>
      <c r="G338">
        <v>109.02</v>
      </c>
      <c r="H338">
        <v>145.97</v>
      </c>
      <c r="I338">
        <v>22.67</v>
      </c>
      <c r="J338">
        <v>47.18</v>
      </c>
      <c r="K338">
        <v>475.82</v>
      </c>
      <c r="L338">
        <v>-87.98</v>
      </c>
    </row>
    <row r="339" spans="1:12">
      <c r="A339" s="1">
        <v>45720</v>
      </c>
      <c r="B339" t="s">
        <v>12</v>
      </c>
      <c r="C339">
        <v>404.09</v>
      </c>
      <c r="D339">
        <v>56.88</v>
      </c>
      <c r="E339">
        <v>49.33</v>
      </c>
      <c r="F339">
        <v>81.58</v>
      </c>
      <c r="G339">
        <v>119.67</v>
      </c>
      <c r="H339">
        <v>182.73</v>
      </c>
      <c r="I339">
        <v>36.1</v>
      </c>
      <c r="J339">
        <v>42.28</v>
      </c>
      <c r="K339">
        <v>568.57000000000005</v>
      </c>
      <c r="L339">
        <v>-164.48</v>
      </c>
    </row>
    <row r="340" spans="1:12">
      <c r="A340" s="1">
        <v>45721</v>
      </c>
      <c r="B340" t="s">
        <v>12</v>
      </c>
      <c r="C340">
        <v>362.47</v>
      </c>
      <c r="D340">
        <v>80.45</v>
      </c>
      <c r="E340">
        <v>42.17</v>
      </c>
      <c r="F340">
        <v>55.48</v>
      </c>
      <c r="G340">
        <v>101.21</v>
      </c>
      <c r="H340">
        <v>196.9</v>
      </c>
      <c r="I340">
        <v>13.45</v>
      </c>
      <c r="J340">
        <v>48.39</v>
      </c>
      <c r="K340">
        <v>538.05999999999995</v>
      </c>
      <c r="L340">
        <v>-175.59</v>
      </c>
    </row>
    <row r="341" spans="1:12">
      <c r="A341" s="1">
        <v>45722</v>
      </c>
      <c r="B341" t="s">
        <v>13</v>
      </c>
      <c r="C341">
        <v>1049.97</v>
      </c>
      <c r="D341">
        <v>8</v>
      </c>
      <c r="E341">
        <v>67.349999999999994</v>
      </c>
      <c r="F341">
        <v>17</v>
      </c>
      <c r="G341">
        <v>107.51</v>
      </c>
      <c r="H341">
        <v>200.98</v>
      </c>
      <c r="I341">
        <v>16.670000000000002</v>
      </c>
      <c r="J341">
        <v>41.85</v>
      </c>
      <c r="K341">
        <v>459.37</v>
      </c>
      <c r="L341">
        <v>590.6</v>
      </c>
    </row>
    <row r="342" spans="1:12">
      <c r="A342" s="1">
        <v>45723</v>
      </c>
      <c r="B342" t="s">
        <v>13</v>
      </c>
      <c r="C342">
        <v>1340.83</v>
      </c>
      <c r="D342">
        <v>12.47</v>
      </c>
      <c r="E342">
        <v>38.82</v>
      </c>
      <c r="F342">
        <v>124.45</v>
      </c>
      <c r="G342">
        <v>134.25</v>
      </c>
      <c r="H342">
        <v>170.13</v>
      </c>
      <c r="I342">
        <v>31.1</v>
      </c>
      <c r="J342">
        <v>60.12</v>
      </c>
      <c r="K342">
        <v>571.35</v>
      </c>
      <c r="L342">
        <v>769.48</v>
      </c>
    </row>
    <row r="343" spans="1:12">
      <c r="A343" s="1">
        <v>45724</v>
      </c>
      <c r="B343" t="s">
        <v>12</v>
      </c>
      <c r="C343">
        <v>312.88</v>
      </c>
      <c r="D343">
        <v>65.150000000000006</v>
      </c>
      <c r="E343">
        <v>58.46</v>
      </c>
      <c r="F343">
        <v>88.7</v>
      </c>
      <c r="G343">
        <v>124.07</v>
      </c>
      <c r="H343">
        <v>123.61</v>
      </c>
      <c r="I343">
        <v>35.9</v>
      </c>
      <c r="J343">
        <v>23.63</v>
      </c>
      <c r="K343">
        <v>519.51</v>
      </c>
      <c r="L343">
        <v>-206.64</v>
      </c>
    </row>
    <row r="344" spans="1:12">
      <c r="A344" s="1">
        <v>45725</v>
      </c>
      <c r="B344" t="s">
        <v>12</v>
      </c>
      <c r="C344">
        <v>333.24</v>
      </c>
      <c r="D344">
        <v>73.42</v>
      </c>
      <c r="E344">
        <v>63.31</v>
      </c>
      <c r="F344">
        <v>72.08</v>
      </c>
      <c r="G344">
        <v>120.37</v>
      </c>
      <c r="H344">
        <v>163.9</v>
      </c>
      <c r="I344">
        <v>20.350000000000001</v>
      </c>
      <c r="J344">
        <v>36.700000000000003</v>
      </c>
      <c r="K344">
        <v>550.13</v>
      </c>
      <c r="L344">
        <v>-216.89</v>
      </c>
    </row>
    <row r="345" spans="1:12">
      <c r="A345" s="1">
        <v>45726</v>
      </c>
      <c r="B345" t="s">
        <v>12</v>
      </c>
      <c r="C345">
        <v>223.52</v>
      </c>
      <c r="D345">
        <v>67.03</v>
      </c>
      <c r="E345">
        <v>43.62</v>
      </c>
      <c r="F345">
        <v>31.98</v>
      </c>
      <c r="G345">
        <v>119.66</v>
      </c>
      <c r="H345">
        <v>143.87</v>
      </c>
      <c r="I345">
        <v>34.04</v>
      </c>
      <c r="J345">
        <v>48.88</v>
      </c>
      <c r="K345">
        <v>489.08</v>
      </c>
      <c r="L345">
        <v>-265.56</v>
      </c>
    </row>
    <row r="346" spans="1:12">
      <c r="A346" s="1">
        <v>45727</v>
      </c>
      <c r="B346" t="s">
        <v>13</v>
      </c>
      <c r="C346">
        <v>856.84</v>
      </c>
      <c r="D346">
        <v>14.25</v>
      </c>
      <c r="E346">
        <v>58.52</v>
      </c>
      <c r="F346">
        <v>66.45</v>
      </c>
      <c r="G346">
        <v>98.9</v>
      </c>
      <c r="H346">
        <v>143.46</v>
      </c>
      <c r="I346">
        <v>11.82</v>
      </c>
      <c r="J346">
        <v>49.34</v>
      </c>
      <c r="K346">
        <v>442.74</v>
      </c>
      <c r="L346">
        <v>414.1</v>
      </c>
    </row>
    <row r="347" spans="1:12">
      <c r="A347" s="1">
        <v>45728</v>
      </c>
      <c r="B347" t="s">
        <v>13</v>
      </c>
      <c r="C347">
        <v>1075.9100000000001</v>
      </c>
      <c r="D347">
        <v>10.98</v>
      </c>
      <c r="E347">
        <v>77.91</v>
      </c>
      <c r="F347">
        <v>61.05</v>
      </c>
      <c r="G347">
        <v>100.06</v>
      </c>
      <c r="H347">
        <v>198.71</v>
      </c>
      <c r="I347">
        <v>21.7</v>
      </c>
      <c r="J347">
        <v>46.82</v>
      </c>
      <c r="K347">
        <v>517.23</v>
      </c>
      <c r="L347">
        <v>558.66999999999996</v>
      </c>
    </row>
    <row r="348" spans="1:12">
      <c r="A348" s="1">
        <v>45729</v>
      </c>
      <c r="B348" t="s">
        <v>12</v>
      </c>
      <c r="C348">
        <v>324.18</v>
      </c>
      <c r="D348">
        <v>68.040000000000006</v>
      </c>
      <c r="E348">
        <v>36.909999999999997</v>
      </c>
      <c r="F348">
        <v>40.07</v>
      </c>
      <c r="G348">
        <v>105.58</v>
      </c>
      <c r="H348">
        <v>103.54</v>
      </c>
      <c r="I348">
        <v>16.07</v>
      </c>
      <c r="J348">
        <v>26.58</v>
      </c>
      <c r="K348">
        <v>396.79</v>
      </c>
      <c r="L348">
        <v>-72.61</v>
      </c>
    </row>
    <row r="349" spans="1:12">
      <c r="A349" s="1">
        <v>45730</v>
      </c>
      <c r="B349" t="s">
        <v>13</v>
      </c>
      <c r="C349">
        <v>898.76</v>
      </c>
      <c r="D349">
        <v>13.79</v>
      </c>
      <c r="E349">
        <v>58.76</v>
      </c>
      <c r="F349">
        <v>94.38</v>
      </c>
      <c r="G349">
        <v>112.49</v>
      </c>
      <c r="H349">
        <v>147.26</v>
      </c>
      <c r="I349">
        <v>11.17</v>
      </c>
      <c r="J349">
        <v>24.37</v>
      </c>
      <c r="K349">
        <v>462.23</v>
      </c>
      <c r="L349">
        <v>436.53</v>
      </c>
    </row>
    <row r="350" spans="1:12">
      <c r="A350" s="1">
        <v>45731</v>
      </c>
      <c r="B350" t="s">
        <v>12</v>
      </c>
      <c r="C350">
        <v>325.64</v>
      </c>
      <c r="D350">
        <v>66.48</v>
      </c>
      <c r="E350">
        <v>28.45</v>
      </c>
      <c r="F350">
        <v>29.08</v>
      </c>
      <c r="G350">
        <v>98.6</v>
      </c>
      <c r="H350">
        <v>155.44</v>
      </c>
      <c r="I350">
        <v>24.76</v>
      </c>
      <c r="J350">
        <v>23.31</v>
      </c>
      <c r="K350">
        <v>426.12</v>
      </c>
      <c r="L350">
        <v>-100.48</v>
      </c>
    </row>
    <row r="351" spans="1:12">
      <c r="A351" s="1">
        <v>45732</v>
      </c>
      <c r="B351" t="s">
        <v>13</v>
      </c>
      <c r="C351">
        <v>867.4</v>
      </c>
      <c r="D351">
        <v>10.37</v>
      </c>
      <c r="E351">
        <v>59.37</v>
      </c>
      <c r="F351">
        <v>54.55</v>
      </c>
      <c r="G351">
        <v>106.46</v>
      </c>
      <c r="H351">
        <v>107.49</v>
      </c>
      <c r="I351">
        <v>18.760000000000002</v>
      </c>
      <c r="J351">
        <v>44.52</v>
      </c>
      <c r="K351">
        <v>401.52</v>
      </c>
      <c r="L351">
        <v>465.88</v>
      </c>
    </row>
    <row r="352" spans="1:12">
      <c r="A352" s="1">
        <v>45733</v>
      </c>
      <c r="B352" t="s">
        <v>12</v>
      </c>
      <c r="C352">
        <v>359.19</v>
      </c>
      <c r="D352">
        <v>96.93</v>
      </c>
      <c r="E352">
        <v>45.25</v>
      </c>
      <c r="F352">
        <v>34.92</v>
      </c>
      <c r="G352">
        <v>107.61</v>
      </c>
      <c r="H352">
        <v>96.71</v>
      </c>
      <c r="I352">
        <v>19.36</v>
      </c>
      <c r="J352">
        <v>20</v>
      </c>
      <c r="K352">
        <v>420.78</v>
      </c>
      <c r="L352">
        <v>-61.59</v>
      </c>
    </row>
    <row r="353" spans="1:12">
      <c r="A353" s="1">
        <v>45734</v>
      </c>
      <c r="B353" t="s">
        <v>12</v>
      </c>
      <c r="C353">
        <v>395.77</v>
      </c>
      <c r="D353">
        <v>64.5</v>
      </c>
      <c r="E353">
        <v>38.25</v>
      </c>
      <c r="F353">
        <v>42.29</v>
      </c>
      <c r="G353">
        <v>153.47</v>
      </c>
      <c r="H353">
        <v>140.36000000000001</v>
      </c>
      <c r="I353">
        <v>34.659999999999997</v>
      </c>
      <c r="J353">
        <v>39.770000000000003</v>
      </c>
      <c r="K353">
        <v>513.30999999999995</v>
      </c>
      <c r="L353">
        <v>-117.54</v>
      </c>
    </row>
    <row r="354" spans="1:12">
      <c r="A354" s="1">
        <v>45735</v>
      </c>
      <c r="B354" t="s">
        <v>13</v>
      </c>
      <c r="C354">
        <v>1046.4100000000001</v>
      </c>
      <c r="D354">
        <v>16.84</v>
      </c>
      <c r="E354">
        <v>67.88</v>
      </c>
      <c r="F354">
        <v>22.17</v>
      </c>
      <c r="G354">
        <v>89.42</v>
      </c>
      <c r="H354">
        <v>199.58</v>
      </c>
      <c r="I354">
        <v>21.56</v>
      </c>
      <c r="J354">
        <v>18.920000000000002</v>
      </c>
      <c r="K354">
        <v>436.37</v>
      </c>
      <c r="L354">
        <v>610.04</v>
      </c>
    </row>
    <row r="355" spans="1:12">
      <c r="A355" s="1">
        <v>45736</v>
      </c>
      <c r="B355" t="s">
        <v>13</v>
      </c>
      <c r="C355">
        <v>939.52</v>
      </c>
      <c r="D355">
        <v>23.52</v>
      </c>
      <c r="E355">
        <v>84.94</v>
      </c>
      <c r="F355">
        <v>78.14</v>
      </c>
      <c r="G355">
        <v>114.03</v>
      </c>
      <c r="H355">
        <v>157.16999999999999</v>
      </c>
      <c r="I355">
        <v>6.67</v>
      </c>
      <c r="J355">
        <v>26.13</v>
      </c>
      <c r="K355">
        <v>490.6</v>
      </c>
      <c r="L355">
        <v>448.92</v>
      </c>
    </row>
    <row r="356" spans="1:12">
      <c r="A356" s="1">
        <v>45737</v>
      </c>
      <c r="B356" t="s">
        <v>12</v>
      </c>
      <c r="C356">
        <v>428.14</v>
      </c>
      <c r="D356">
        <v>67.260000000000005</v>
      </c>
      <c r="E356">
        <v>36.35</v>
      </c>
      <c r="F356">
        <v>49</v>
      </c>
      <c r="G356">
        <v>157.6</v>
      </c>
      <c r="H356">
        <v>198.78</v>
      </c>
      <c r="I356">
        <v>37.75</v>
      </c>
      <c r="J356">
        <v>28.09</v>
      </c>
      <c r="K356">
        <v>574.84</v>
      </c>
      <c r="L356">
        <v>-146.69</v>
      </c>
    </row>
    <row r="357" spans="1:12">
      <c r="A357" s="1">
        <v>45738</v>
      </c>
      <c r="B357" t="s">
        <v>13</v>
      </c>
      <c r="C357">
        <v>1009.12</v>
      </c>
      <c r="D357">
        <v>7.42</v>
      </c>
      <c r="E357">
        <v>89.54</v>
      </c>
      <c r="F357">
        <v>44.97</v>
      </c>
      <c r="G357">
        <v>99.34</v>
      </c>
      <c r="H357">
        <v>131.59</v>
      </c>
      <c r="I357">
        <v>16.7</v>
      </c>
      <c r="J357">
        <v>27.44</v>
      </c>
      <c r="K357">
        <v>416.99</v>
      </c>
      <c r="L357">
        <v>592.13</v>
      </c>
    </row>
    <row r="358" spans="1:12">
      <c r="A358" s="1">
        <v>45739</v>
      </c>
      <c r="B358" t="s">
        <v>13</v>
      </c>
      <c r="C358">
        <v>828.42</v>
      </c>
      <c r="D358">
        <v>12.3</v>
      </c>
      <c r="E358">
        <v>49.03</v>
      </c>
      <c r="F358">
        <v>105</v>
      </c>
      <c r="G358">
        <v>72.900000000000006</v>
      </c>
      <c r="H358">
        <v>177.72</v>
      </c>
      <c r="I358">
        <v>32.96</v>
      </c>
      <c r="J358">
        <v>32.299999999999997</v>
      </c>
      <c r="K358">
        <v>482.22</v>
      </c>
      <c r="L358">
        <v>346.2</v>
      </c>
    </row>
    <row r="359" spans="1:12">
      <c r="A359" s="1">
        <v>45740</v>
      </c>
      <c r="B359" t="s">
        <v>13</v>
      </c>
      <c r="C359">
        <v>806.42</v>
      </c>
      <c r="D359">
        <v>13.85</v>
      </c>
      <c r="E359">
        <v>83.59</v>
      </c>
      <c r="F359">
        <v>85.82</v>
      </c>
      <c r="G359">
        <v>84.38</v>
      </c>
      <c r="H359">
        <v>186.94</v>
      </c>
      <c r="I359">
        <v>12.08</v>
      </c>
      <c r="J359">
        <v>50.22</v>
      </c>
      <c r="K359">
        <v>516.88</v>
      </c>
      <c r="L359">
        <v>289.54000000000002</v>
      </c>
    </row>
    <row r="360" spans="1:12">
      <c r="A360" s="1">
        <v>45741</v>
      </c>
      <c r="B360" t="s">
        <v>12</v>
      </c>
      <c r="C360">
        <v>370.43</v>
      </c>
      <c r="D360">
        <v>66.92</v>
      </c>
      <c r="E360">
        <v>27.42</v>
      </c>
      <c r="F360">
        <v>37.270000000000003</v>
      </c>
      <c r="G360">
        <v>123.37</v>
      </c>
      <c r="H360">
        <v>186.87</v>
      </c>
      <c r="I360">
        <v>14.9</v>
      </c>
      <c r="J360">
        <v>35.5</v>
      </c>
      <c r="K360">
        <v>492.25</v>
      </c>
      <c r="L360">
        <v>-121.82</v>
      </c>
    </row>
    <row r="361" spans="1:12">
      <c r="A361" s="1">
        <v>45742</v>
      </c>
      <c r="B361" t="s">
        <v>13</v>
      </c>
      <c r="C361">
        <v>532.59</v>
      </c>
      <c r="D361">
        <v>12.08</v>
      </c>
      <c r="E361">
        <v>59.38</v>
      </c>
      <c r="F361">
        <v>52.71</v>
      </c>
      <c r="G361">
        <v>76.27</v>
      </c>
      <c r="H361">
        <v>146.63</v>
      </c>
      <c r="I361">
        <v>24.63</v>
      </c>
      <c r="J361">
        <v>37.19</v>
      </c>
      <c r="K361">
        <v>408.88</v>
      </c>
      <c r="L361">
        <v>123.71</v>
      </c>
    </row>
    <row r="362" spans="1:12">
      <c r="A362" s="1">
        <v>45743</v>
      </c>
      <c r="B362" t="s">
        <v>13</v>
      </c>
      <c r="C362">
        <v>502.35</v>
      </c>
      <c r="D362">
        <v>4.4000000000000004</v>
      </c>
      <c r="E362">
        <v>47.86</v>
      </c>
      <c r="F362">
        <v>93.73</v>
      </c>
      <c r="G362">
        <v>40.049999999999997</v>
      </c>
      <c r="H362">
        <v>152.51</v>
      </c>
      <c r="I362">
        <v>17.260000000000002</v>
      </c>
      <c r="J362">
        <v>60.83</v>
      </c>
      <c r="K362">
        <v>416.64</v>
      </c>
      <c r="L362">
        <v>85.72</v>
      </c>
    </row>
    <row r="363" spans="1:12">
      <c r="A363" s="1">
        <v>45744</v>
      </c>
      <c r="B363" t="s">
        <v>12</v>
      </c>
      <c r="C363">
        <v>330.75</v>
      </c>
      <c r="D363">
        <v>73.83</v>
      </c>
      <c r="E363">
        <v>42.12</v>
      </c>
      <c r="F363">
        <v>12.39</v>
      </c>
      <c r="G363">
        <v>129.21</v>
      </c>
      <c r="H363">
        <v>156.46</v>
      </c>
      <c r="I363">
        <v>24.07</v>
      </c>
      <c r="J363">
        <v>77.11</v>
      </c>
      <c r="K363">
        <v>515.19000000000005</v>
      </c>
      <c r="L363">
        <v>-184.44</v>
      </c>
    </row>
    <row r="364" spans="1:12">
      <c r="A364" s="1">
        <v>45745</v>
      </c>
      <c r="B364" t="s">
        <v>12</v>
      </c>
      <c r="C364">
        <v>245.79</v>
      </c>
      <c r="D364">
        <v>87.25</v>
      </c>
      <c r="E364">
        <v>35.69</v>
      </c>
      <c r="F364">
        <v>60.75</v>
      </c>
      <c r="G364">
        <v>108.86</v>
      </c>
      <c r="H364">
        <v>137.27000000000001</v>
      </c>
      <c r="I364">
        <v>15.44</v>
      </c>
      <c r="J364">
        <v>33.950000000000003</v>
      </c>
      <c r="K364">
        <v>479.21</v>
      </c>
      <c r="L364">
        <v>-233.42</v>
      </c>
    </row>
    <row r="365" spans="1:12">
      <c r="A365" s="1">
        <v>45746</v>
      </c>
      <c r="B365" t="s">
        <v>12</v>
      </c>
      <c r="C365">
        <v>274.14</v>
      </c>
      <c r="D365">
        <v>77.510000000000005</v>
      </c>
      <c r="E365">
        <v>33.76</v>
      </c>
      <c r="F365">
        <v>32.4</v>
      </c>
      <c r="G365">
        <v>98.75</v>
      </c>
      <c r="H365">
        <v>187.71</v>
      </c>
      <c r="I365">
        <v>15.72</v>
      </c>
      <c r="J365">
        <v>34.299999999999997</v>
      </c>
      <c r="K365">
        <v>480.14</v>
      </c>
      <c r="L365">
        <v>-206</v>
      </c>
    </row>
    <row r="366" spans="1:12">
      <c r="A366" s="1">
        <v>45747</v>
      </c>
      <c r="B366" t="s">
        <v>12</v>
      </c>
      <c r="C366">
        <v>313.45</v>
      </c>
      <c r="D366">
        <v>77.58</v>
      </c>
      <c r="E366">
        <v>50.28</v>
      </c>
      <c r="F366">
        <v>91.97</v>
      </c>
      <c r="G366">
        <v>105.61</v>
      </c>
      <c r="H366">
        <v>170.06</v>
      </c>
      <c r="I366">
        <v>20.78</v>
      </c>
      <c r="J366">
        <v>45.55</v>
      </c>
      <c r="K366">
        <v>561.84</v>
      </c>
      <c r="L366">
        <v>-248.39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3612-64B7-7545-B5F4-379654B4B33B}">
  <dimension ref="A1:S427"/>
  <sheetViews>
    <sheetView zoomScaleNormal="200" workbookViewId="0">
      <selection activeCell="K1" sqref="A1:XFD1048576"/>
    </sheetView>
  </sheetViews>
  <sheetFormatPr baseColWidth="10" defaultRowHeight="14"/>
  <cols>
    <col min="1" max="1" width="17.6640625" style="5" bestFit="1" customWidth="1"/>
    <col min="2" max="2" width="13.83203125" style="5" customWidth="1"/>
    <col min="3" max="3" width="10.83203125" style="8"/>
    <col min="4" max="4" width="11" style="8" customWidth="1"/>
    <col min="5" max="7" width="10.83203125" style="8"/>
    <col min="8" max="8" width="11.83203125" style="8" customWidth="1"/>
    <col min="9" max="10" width="10.83203125" style="8"/>
    <col min="11" max="11" width="14.33203125" style="8" customWidth="1"/>
    <col min="12" max="12" width="10.83203125" style="30"/>
    <col min="13" max="14" width="10.83203125" style="5"/>
    <col min="15" max="15" width="20.6640625" style="5" customWidth="1"/>
    <col min="16" max="16" width="13.5" style="7" customWidth="1"/>
    <col min="17" max="17" width="20.33203125" style="7" customWidth="1"/>
    <col min="18" max="18" width="22.33203125" style="5" customWidth="1"/>
    <col min="19" max="16384" width="10.83203125" style="5"/>
  </cols>
  <sheetData>
    <row r="1" spans="1:19">
      <c r="A1" s="5" t="s">
        <v>0</v>
      </c>
      <c r="B1" s="5" t="s">
        <v>1</v>
      </c>
      <c r="C1" s="8" t="s">
        <v>2</v>
      </c>
      <c r="D1" s="8" t="s">
        <v>3</v>
      </c>
      <c r="E1" s="8" t="s">
        <v>14</v>
      </c>
      <c r="F1" s="8" t="s">
        <v>5</v>
      </c>
      <c r="G1" s="8" t="s">
        <v>15</v>
      </c>
      <c r="H1" s="8" t="s">
        <v>7</v>
      </c>
      <c r="I1" s="8" t="s">
        <v>16</v>
      </c>
      <c r="J1" s="8" t="s">
        <v>9</v>
      </c>
      <c r="K1" s="8" t="s">
        <v>17</v>
      </c>
      <c r="L1" s="30" t="s">
        <v>11</v>
      </c>
      <c r="M1" s="5" t="s">
        <v>18</v>
      </c>
      <c r="N1" s="5" t="s">
        <v>19</v>
      </c>
      <c r="O1" s="5" t="s">
        <v>20</v>
      </c>
      <c r="P1" s="7" t="s">
        <v>21</v>
      </c>
      <c r="Q1" s="7" t="s">
        <v>22</v>
      </c>
      <c r="R1" s="5" t="s">
        <v>23</v>
      </c>
      <c r="S1" s="5" t="s">
        <v>56</v>
      </c>
    </row>
    <row r="2" spans="1:19">
      <c r="A2" s="6">
        <f>FARM_DATA[[#This Row],[Date]]</f>
        <v>45383</v>
      </c>
      <c r="B2" s="5" t="str">
        <f>FARM_DATA[[#This Row],[Farmer_Type]]</f>
        <v>Traditional</v>
      </c>
      <c r="C2" s="8">
        <f>FARM_DATA[[#This Row],[Income]]</f>
        <v>374.84</v>
      </c>
      <c r="D2" s="8">
        <f>FARM_DATA[[#This Row],[Irrigation]]</f>
        <v>68.62</v>
      </c>
      <c r="E2" s="8">
        <f>FARM_DATA[[#This Row],[Seeds]]</f>
        <v>49.72</v>
      </c>
      <c r="F2" s="8">
        <f>FARM_DATA[[#This Row],[Fertilizer]]</f>
        <v>85.46</v>
      </c>
      <c r="G2" s="8">
        <f>FARM_DATA[[#This Row],[Labor]]</f>
        <v>104.15</v>
      </c>
      <c r="H2" s="8">
        <f>FARM_DATA[[#This Row],[Household]]</f>
        <v>142.97999999999999</v>
      </c>
      <c r="I2" s="8">
        <f>FARM_DATA[[#This Row],[Medical]]</f>
        <v>32.630000000000003</v>
      </c>
      <c r="J2" s="8">
        <f>FARM_DATA[[#This Row],[Misc]]</f>
        <v>39.21</v>
      </c>
      <c r="K2" s="8">
        <f>FARM_DATA[[#This Row],[Total_Expenses]]</f>
        <v>522.76</v>
      </c>
      <c r="L2" s="30">
        <f>FARM_DATA[[#This Row],[Savings]]</f>
        <v>-147.91999999999999</v>
      </c>
      <c r="M2" s="5" t="str">
        <f>TEXT(CLEAN_TABLE[[#This Row],[Date]], "mmm")</f>
        <v>Apr</v>
      </c>
      <c r="N2" s="5">
        <f>YEAR(CLEAN_TABLE[[#This Row],[Date]])</f>
        <v>2024</v>
      </c>
      <c r="O2" s="5">
        <f>IF(CLEAN_TABLE[[#This Row],[Farmer_Type]]="Smart",0,1)</f>
        <v>1</v>
      </c>
      <c r="P2" s="7">
        <f>IFERROR(CLEAN_TABLE[[#This Row],[Savings]]/CLEAN_TABLE[[#This Row],[Income]],0)</f>
        <v>-0.39462170526091134</v>
      </c>
      <c r="Q2" s="9">
        <f>IF(CLEAN_TABLE[[#This Row],[Farmer_Type]]="Smart", 1 - (CLEAN_TABLE[[#This Row],[Irrigation]] / 70), 1 - (CLEAN_TABLE[[#This Row],[Irrigation]] / 150))</f>
        <v>0.54253333333333331</v>
      </c>
      <c r="R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897.61</v>
      </c>
    </row>
    <row r="3" spans="1:19">
      <c r="A3" s="6">
        <f>FARM_DATA[[#This Row],[Date]]</f>
        <v>45384</v>
      </c>
      <c r="B3" s="5" t="str">
        <f>FARM_DATA[[#This Row],[Farmer_Type]]</f>
        <v>Smart</v>
      </c>
      <c r="C3" s="8">
        <f>FARM_DATA[[#This Row],[Income]]</f>
        <v>856.11</v>
      </c>
      <c r="D3" s="8">
        <f>FARM_DATA[[#This Row],[Irrigation]]</f>
        <v>17.71</v>
      </c>
      <c r="E3" s="8">
        <f>FARM_DATA[[#This Row],[Seeds]]</f>
        <v>50.73</v>
      </c>
      <c r="F3" s="8">
        <f>FARM_DATA[[#This Row],[Fertilizer]]</f>
        <v>66.03</v>
      </c>
      <c r="G3" s="8">
        <f>FARM_DATA[[#This Row],[Labor]]</f>
        <v>99.84</v>
      </c>
      <c r="H3" s="8">
        <f>FARM_DATA[[#This Row],[Household]]</f>
        <v>103.04</v>
      </c>
      <c r="I3" s="8">
        <f>FARM_DATA[[#This Row],[Medical]]</f>
        <v>6.48</v>
      </c>
      <c r="J3" s="8">
        <f>FARM_DATA[[#This Row],[Misc]]</f>
        <v>31.57</v>
      </c>
      <c r="K3" s="8">
        <f>FARM_DATA[[#This Row],[Total_Expenses]]</f>
        <v>375.39</v>
      </c>
      <c r="L3" s="30">
        <f>FARM_DATA[[#This Row],[Savings]]</f>
        <v>480.72</v>
      </c>
      <c r="M3" s="5" t="str">
        <f>TEXT(CLEAN_TABLE[[#This Row],[Date]], "mmm")</f>
        <v>Apr</v>
      </c>
      <c r="N3" s="5">
        <f>YEAR(CLEAN_TABLE[[#This Row],[Date]])</f>
        <v>2024</v>
      </c>
      <c r="O3" s="5">
        <f>IF(CLEAN_TABLE[[#This Row],[Farmer_Type]]="Smart",0,1)</f>
        <v>0</v>
      </c>
      <c r="P3" s="7">
        <f>IFERROR(CLEAN_TABLE[[#This Row],[Savings]]/CLEAN_TABLE[[#This Row],[Income]],0)</f>
        <v>0.56151662753618115</v>
      </c>
      <c r="Q3" s="7">
        <f>IF(CLEAN_TABLE[[#This Row],[Farmer_Type]]="Smart", 1 - (CLEAN_TABLE[[#This Row],[Irrigation]] / 70), 1 - (CLEAN_TABLE[[#This Row],[Irrigation]] / 150))</f>
        <v>0.747</v>
      </c>
      <c r="R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1231.51</v>
      </c>
    </row>
    <row r="4" spans="1:19">
      <c r="A4" s="6">
        <f>FARM_DATA[[#This Row],[Date]]</f>
        <v>45385</v>
      </c>
      <c r="B4" s="5" t="str">
        <f>FARM_DATA[[#This Row],[Farmer_Type]]</f>
        <v>Traditional</v>
      </c>
      <c r="C4" s="8">
        <f>FARM_DATA[[#This Row],[Income]]</f>
        <v>299.36</v>
      </c>
      <c r="D4" s="8">
        <f>FARM_DATA[[#This Row],[Irrigation]]</f>
        <v>73.14</v>
      </c>
      <c r="E4" s="8">
        <f>FARM_DATA[[#This Row],[Seeds]]</f>
        <v>26.38</v>
      </c>
      <c r="F4" s="8">
        <f>FARM_DATA[[#This Row],[Fertilizer]]</f>
        <v>26.75</v>
      </c>
      <c r="G4" s="8">
        <f>FARM_DATA[[#This Row],[Labor]]</f>
        <v>146.63999999999999</v>
      </c>
      <c r="H4" s="8">
        <f>FARM_DATA[[#This Row],[Household]]</f>
        <v>143.22999999999999</v>
      </c>
      <c r="I4" s="8">
        <f>FARM_DATA[[#This Row],[Medical]]</f>
        <v>20.54</v>
      </c>
      <c r="J4" s="8">
        <f>FARM_DATA[[#This Row],[Misc]]</f>
        <v>12.9</v>
      </c>
      <c r="K4" s="8">
        <f>FARM_DATA[[#This Row],[Total_Expenses]]</f>
        <v>449.59</v>
      </c>
      <c r="L4" s="30">
        <f>FARM_DATA[[#This Row],[Savings]]</f>
        <v>-150.22999999999999</v>
      </c>
      <c r="M4" s="5" t="str">
        <f>TEXT(CLEAN_TABLE[[#This Row],[Date]], "mmm")</f>
        <v>Apr</v>
      </c>
      <c r="N4" s="5">
        <f>YEAR(CLEAN_TABLE[[#This Row],[Date]])</f>
        <v>2024</v>
      </c>
      <c r="O4" s="5">
        <f>IF(CLEAN_TABLE[[#This Row],[Farmer_Type]]="Smart",0,1)</f>
        <v>1</v>
      </c>
      <c r="P4" s="7">
        <f>IFERROR(CLEAN_TABLE[[#This Row],[Savings]]/CLEAN_TABLE[[#This Row],[Income]],0)</f>
        <v>-0.50183725280598601</v>
      </c>
      <c r="Q4" s="7">
        <f>IF(CLEAN_TABLE[[#This Row],[Farmer_Type]]="Smart", 1 - (CLEAN_TABLE[[#This Row],[Irrigation]] / 70), 1 - (CLEAN_TABLE[[#This Row],[Irrigation]] / 150))</f>
        <v>0.51239999999999997</v>
      </c>
      <c r="R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748.93999999999994</v>
      </c>
    </row>
    <row r="5" spans="1:19">
      <c r="A5" s="6">
        <f>FARM_DATA[[#This Row],[Date]]</f>
        <v>45386</v>
      </c>
      <c r="B5" s="5" t="str">
        <f>FARM_DATA[[#This Row],[Farmer_Type]]</f>
        <v>Smart</v>
      </c>
      <c r="C5" s="8">
        <f>FARM_DATA[[#This Row],[Income]]</f>
        <v>841.12</v>
      </c>
      <c r="D5" s="8">
        <f>FARM_DATA[[#This Row],[Irrigation]]</f>
        <v>15.55</v>
      </c>
      <c r="E5" s="8">
        <f>FARM_DATA[[#This Row],[Seeds]]</f>
        <v>36.979999999999997</v>
      </c>
      <c r="F5" s="8">
        <f>FARM_DATA[[#This Row],[Fertilizer]]</f>
        <v>91.27</v>
      </c>
      <c r="G5" s="8">
        <f>FARM_DATA[[#This Row],[Labor]]</f>
        <v>82.99</v>
      </c>
      <c r="H5" s="8">
        <f>FARM_DATA[[#This Row],[Household]]</f>
        <v>159.79</v>
      </c>
      <c r="I5" s="8">
        <f>FARM_DATA[[#This Row],[Medical]]</f>
        <v>16.579999999999998</v>
      </c>
      <c r="J5" s="8">
        <f>FARM_DATA[[#This Row],[Misc]]</f>
        <v>67.78</v>
      </c>
      <c r="K5" s="8">
        <f>FARM_DATA[[#This Row],[Total_Expenses]]</f>
        <v>470.95</v>
      </c>
      <c r="L5" s="30">
        <f>FARM_DATA[[#This Row],[Savings]]</f>
        <v>370.17</v>
      </c>
      <c r="M5" s="5" t="str">
        <f>TEXT(CLEAN_TABLE[[#This Row],[Date]], "mmm")</f>
        <v>Apr</v>
      </c>
      <c r="N5" s="5">
        <f>YEAR(CLEAN_TABLE[[#This Row],[Date]])</f>
        <v>2024</v>
      </c>
      <c r="O5" s="5">
        <f>IF(CLEAN_TABLE[[#This Row],[Farmer_Type]]="Smart",0,1)</f>
        <v>0</v>
      </c>
      <c r="P5" s="7">
        <f>IFERROR(CLEAN_TABLE[[#This Row],[Savings]]/CLEAN_TABLE[[#This Row],[Income]],0)</f>
        <v>0.44009178238539093</v>
      </c>
      <c r="Q5" s="7">
        <f>IF(CLEAN_TABLE[[#This Row],[Farmer_Type]]="Smart", 1 - (CLEAN_TABLE[[#This Row],[Irrigation]] / 70), 1 - (CLEAN_TABLE[[#This Row],[Irrigation]] / 150))</f>
        <v>0.7778571428571428</v>
      </c>
      <c r="R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1312.0599999999997</v>
      </c>
    </row>
    <row r="6" spans="1:19">
      <c r="A6" s="6">
        <f>FARM_DATA[[#This Row],[Date]]</f>
        <v>45387</v>
      </c>
      <c r="B6" s="5" t="str">
        <f>FARM_DATA[[#This Row],[Farmer_Type]]</f>
        <v>Traditional</v>
      </c>
      <c r="C6" s="8">
        <f>FARM_DATA[[#This Row],[Income]]</f>
        <v>349.33</v>
      </c>
      <c r="D6" s="8">
        <f>FARM_DATA[[#This Row],[Irrigation]]</f>
        <v>59.42</v>
      </c>
      <c r="E6" s="8">
        <f>FARM_DATA[[#This Row],[Seeds]]</f>
        <v>52.34</v>
      </c>
      <c r="F6" s="8">
        <f>FARM_DATA[[#This Row],[Fertilizer]]</f>
        <v>30.58</v>
      </c>
      <c r="G6" s="8">
        <f>FARM_DATA[[#This Row],[Labor]]</f>
        <v>115.22</v>
      </c>
      <c r="H6" s="8">
        <f>FARM_DATA[[#This Row],[Household]]</f>
        <v>91.21</v>
      </c>
      <c r="I6" s="8">
        <f>FARM_DATA[[#This Row],[Medical]]</f>
        <v>9.3699999999999992</v>
      </c>
      <c r="J6" s="8">
        <f>FARM_DATA[[#This Row],[Misc]]</f>
        <v>32.36</v>
      </c>
      <c r="K6" s="8">
        <f>FARM_DATA[[#This Row],[Total_Expenses]]</f>
        <v>390.51</v>
      </c>
      <c r="L6" s="30">
        <f>FARM_DATA[[#This Row],[Savings]]</f>
        <v>-41.19</v>
      </c>
      <c r="M6" s="5" t="str">
        <f>TEXT(CLEAN_TABLE[[#This Row],[Date]], "mmm")</f>
        <v>Apr</v>
      </c>
      <c r="N6" s="5">
        <f>YEAR(CLEAN_TABLE[[#This Row],[Date]])</f>
        <v>2024</v>
      </c>
      <c r="O6" s="5">
        <f>IF(CLEAN_TABLE[[#This Row],[Farmer_Type]]="Smart",0,1)</f>
        <v>1</v>
      </c>
      <c r="P6" s="7">
        <f>IFERROR(CLEAN_TABLE[[#This Row],[Savings]]/CLEAN_TABLE[[#This Row],[Income]],0)</f>
        <v>-0.11791143045258065</v>
      </c>
      <c r="Q6" s="7">
        <f>IF(CLEAN_TABLE[[#This Row],[Farmer_Type]]="Smart", 1 - (CLEAN_TABLE[[#This Row],[Irrigation]] / 70), 1 - (CLEAN_TABLE[[#This Row],[Irrigation]] / 150))</f>
        <v>0.60386666666666666</v>
      </c>
      <c r="R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739.83</v>
      </c>
    </row>
    <row r="7" spans="1:19">
      <c r="A7" s="6">
        <f>FARM_DATA[[#This Row],[Date]]</f>
        <v>45388</v>
      </c>
      <c r="B7" s="5" t="str">
        <f>FARM_DATA[[#This Row],[Farmer_Type]]</f>
        <v>Smart</v>
      </c>
      <c r="C7" s="8">
        <f>FARM_DATA[[#This Row],[Income]]</f>
        <v>1097.69</v>
      </c>
      <c r="D7" s="8">
        <f>FARM_DATA[[#This Row],[Irrigation]]</f>
        <v>15.86</v>
      </c>
      <c r="E7" s="8">
        <f>FARM_DATA[[#This Row],[Seeds]]</f>
        <v>57.69</v>
      </c>
      <c r="F7" s="8">
        <f>FARM_DATA[[#This Row],[Fertilizer]]</f>
        <v>70.97</v>
      </c>
      <c r="G7" s="8">
        <f>FARM_DATA[[#This Row],[Labor]]</f>
        <v>65.430000000000007</v>
      </c>
      <c r="H7" s="8">
        <f>FARM_DATA[[#This Row],[Household]]</f>
        <v>144.81</v>
      </c>
      <c r="I7" s="8">
        <f>FARM_DATA[[#This Row],[Medical]]</f>
        <v>17.850000000000001</v>
      </c>
      <c r="J7" s="8">
        <f>FARM_DATA[[#This Row],[Misc]]</f>
        <v>55.86</v>
      </c>
      <c r="K7" s="8">
        <f>FARM_DATA[[#This Row],[Total_Expenses]]</f>
        <v>428.46</v>
      </c>
      <c r="L7" s="30">
        <f>FARM_DATA[[#This Row],[Savings]]</f>
        <v>669.24</v>
      </c>
      <c r="M7" s="5" t="str">
        <f>TEXT(CLEAN_TABLE[[#This Row],[Date]], "mmm")</f>
        <v>Apr</v>
      </c>
      <c r="N7" s="5">
        <f>YEAR(CLEAN_TABLE[[#This Row],[Date]])</f>
        <v>2024</v>
      </c>
      <c r="O7" s="5">
        <f>IF(CLEAN_TABLE[[#This Row],[Farmer_Type]]="Smart",0,1)</f>
        <v>0</v>
      </c>
      <c r="P7" s="7">
        <f>IFERROR(CLEAN_TABLE[[#This Row],[Savings]]/CLEAN_TABLE[[#This Row],[Income]],0)</f>
        <v>0.60968032869024946</v>
      </c>
      <c r="Q7" s="7">
        <f>IF(CLEAN_TABLE[[#This Row],[Farmer_Type]]="Smart", 1 - (CLEAN_TABLE[[#This Row],[Irrigation]] / 70), 1 - (CLEAN_TABLE[[#This Row],[Irrigation]] / 150))</f>
        <v>0.77342857142857147</v>
      </c>
      <c r="R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1526.1599999999999</v>
      </c>
    </row>
    <row r="8" spans="1:19">
      <c r="A8" s="6">
        <f>FARM_DATA[[#This Row],[Date]]</f>
        <v>45389</v>
      </c>
      <c r="B8" s="5" t="str">
        <f>FARM_DATA[[#This Row],[Farmer_Type]]</f>
        <v>Smart</v>
      </c>
      <c r="C8" s="8">
        <f>FARM_DATA[[#This Row],[Income]]</f>
        <v>1018.72</v>
      </c>
      <c r="D8" s="8">
        <f>FARM_DATA[[#This Row],[Irrigation]]</f>
        <v>6.18</v>
      </c>
      <c r="E8" s="8">
        <f>FARM_DATA[[#This Row],[Seeds]]</f>
        <v>66.48</v>
      </c>
      <c r="F8" s="8">
        <f>FARM_DATA[[#This Row],[Fertilizer]]</f>
        <v>68.45</v>
      </c>
      <c r="G8" s="8">
        <f>FARM_DATA[[#This Row],[Labor]]</f>
        <v>81.459999999999994</v>
      </c>
      <c r="H8" s="8">
        <f>FARM_DATA[[#This Row],[Household]]</f>
        <v>191.41</v>
      </c>
      <c r="I8" s="8">
        <f>FARM_DATA[[#This Row],[Medical]]</f>
        <v>31.28</v>
      </c>
      <c r="J8" s="8">
        <f>FARM_DATA[[#This Row],[Misc]]</f>
        <v>53.97</v>
      </c>
      <c r="K8" s="8">
        <f>FARM_DATA[[#This Row],[Total_Expenses]]</f>
        <v>499.23</v>
      </c>
      <c r="L8" s="30">
        <f>FARM_DATA[[#This Row],[Savings]]</f>
        <v>519.49</v>
      </c>
      <c r="M8" s="5" t="str">
        <f>TEXT(CLEAN_TABLE[[#This Row],[Date]], "mmm")</f>
        <v>Apr</v>
      </c>
      <c r="N8" s="5">
        <f>YEAR(CLEAN_TABLE[[#This Row],[Date]])</f>
        <v>2024</v>
      </c>
      <c r="O8" s="5">
        <f>IF(CLEAN_TABLE[[#This Row],[Farmer_Type]]="Smart",0,1)</f>
        <v>0</v>
      </c>
      <c r="P8" s="7">
        <f>IFERROR(CLEAN_TABLE[[#This Row],[Savings]]/CLEAN_TABLE[[#This Row],[Income]],0)</f>
        <v>0.50994385110727192</v>
      </c>
      <c r="Q8" s="7">
        <f>IF(CLEAN_TABLE[[#This Row],[Farmer_Type]]="Smart", 1 - (CLEAN_TABLE[[#This Row],[Irrigation]] / 70), 1 - (CLEAN_TABLE[[#This Row],[Irrigation]] / 150))</f>
        <v>0.9117142857142857</v>
      </c>
      <c r="R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1517.9500000000003</v>
      </c>
    </row>
    <row r="9" spans="1:19">
      <c r="A9" s="6">
        <f>FARM_DATA[[#This Row],[Date]]</f>
        <v>45390</v>
      </c>
      <c r="B9" s="5" t="str">
        <f>FARM_DATA[[#This Row],[Farmer_Type]]</f>
        <v>Traditional</v>
      </c>
      <c r="C9" s="8">
        <f>FARM_DATA[[#This Row],[Income]]</f>
        <v>308.04000000000002</v>
      </c>
      <c r="D9" s="8">
        <f>FARM_DATA[[#This Row],[Irrigation]]</f>
        <v>66.91</v>
      </c>
      <c r="E9" s="8">
        <f>FARM_DATA[[#This Row],[Seeds]]</f>
        <v>44.97</v>
      </c>
      <c r="F9" s="8">
        <f>FARM_DATA[[#This Row],[Fertilizer]]</f>
        <v>74.510000000000005</v>
      </c>
      <c r="G9" s="8">
        <f>FARM_DATA[[#This Row],[Labor]]</f>
        <v>98.02</v>
      </c>
      <c r="H9" s="8">
        <f>FARM_DATA[[#This Row],[Household]]</f>
        <v>144.43</v>
      </c>
      <c r="I9" s="8">
        <f>FARM_DATA[[#This Row],[Medical]]</f>
        <v>11.15</v>
      </c>
      <c r="J9" s="8">
        <f>FARM_DATA[[#This Row],[Misc]]</f>
        <v>15.65</v>
      </c>
      <c r="K9" s="8">
        <f>FARM_DATA[[#This Row],[Total_Expenses]]</f>
        <v>455.63</v>
      </c>
      <c r="L9" s="30">
        <f>FARM_DATA[[#This Row],[Savings]]</f>
        <v>-147.59</v>
      </c>
      <c r="M9" s="5" t="str">
        <f>TEXT(CLEAN_TABLE[[#This Row],[Date]], "mmm")</f>
        <v>Apr</v>
      </c>
      <c r="N9" s="5">
        <f>YEAR(CLEAN_TABLE[[#This Row],[Date]])</f>
        <v>2024</v>
      </c>
      <c r="O9" s="5">
        <f>IF(CLEAN_TABLE[[#This Row],[Farmer_Type]]="Smart",0,1)</f>
        <v>1</v>
      </c>
      <c r="P9" s="7">
        <f>IFERROR(CLEAN_TABLE[[#This Row],[Savings]]/CLEAN_TABLE[[#This Row],[Income]],0)</f>
        <v>-0.47912608752110114</v>
      </c>
      <c r="Q9" s="7">
        <f>IF(CLEAN_TABLE[[#This Row],[Farmer_Type]]="Smart", 1 - (CLEAN_TABLE[[#This Row],[Irrigation]] / 70), 1 - (CLEAN_TABLE[[#This Row],[Irrigation]] / 150))</f>
        <v>0.55393333333333339</v>
      </c>
      <c r="R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763.68000000000006</v>
      </c>
    </row>
    <row r="10" spans="1:19">
      <c r="A10" s="6">
        <f>FARM_DATA[[#This Row],[Date]]</f>
        <v>45391</v>
      </c>
      <c r="B10" s="5" t="str">
        <f>FARM_DATA[[#This Row],[Farmer_Type]]</f>
        <v>Traditional</v>
      </c>
      <c r="C10" s="8">
        <f>FARM_DATA[[#This Row],[Income]]</f>
        <v>390.63</v>
      </c>
      <c r="D10" s="8">
        <f>FARM_DATA[[#This Row],[Irrigation]]</f>
        <v>83.56</v>
      </c>
      <c r="E10" s="8">
        <f>FARM_DATA[[#This Row],[Seeds]]</f>
        <v>38.92</v>
      </c>
      <c r="F10" s="8">
        <f>FARM_DATA[[#This Row],[Fertilizer]]</f>
        <v>75.069999999999993</v>
      </c>
      <c r="G10" s="8">
        <f>FARM_DATA[[#This Row],[Labor]]</f>
        <v>119.04</v>
      </c>
      <c r="H10" s="8">
        <f>FARM_DATA[[#This Row],[Household]]</f>
        <v>130.65</v>
      </c>
      <c r="I10" s="8">
        <f>FARM_DATA[[#This Row],[Medical]]</f>
        <v>22.89</v>
      </c>
      <c r="J10" s="8">
        <f>FARM_DATA[[#This Row],[Misc]]</f>
        <v>48.46</v>
      </c>
      <c r="K10" s="8">
        <f>FARM_DATA[[#This Row],[Total_Expenses]]</f>
        <v>518.59</v>
      </c>
      <c r="L10" s="30">
        <f>FARM_DATA[[#This Row],[Savings]]</f>
        <v>-127.96</v>
      </c>
      <c r="M10" s="5" t="str">
        <f>TEXT(CLEAN_TABLE[[#This Row],[Date]], "mmm")</f>
        <v>Apr</v>
      </c>
      <c r="N10" s="5">
        <f>YEAR(CLEAN_TABLE[[#This Row],[Date]])</f>
        <v>2024</v>
      </c>
      <c r="O10" s="5">
        <f>IF(CLEAN_TABLE[[#This Row],[Farmer_Type]]="Smart",0,1)</f>
        <v>1</v>
      </c>
      <c r="P10" s="7">
        <f>IFERROR(CLEAN_TABLE[[#This Row],[Savings]]/CLEAN_TABLE[[#This Row],[Income]],0)</f>
        <v>-0.32757340706038962</v>
      </c>
      <c r="Q10" s="7">
        <f>IF(CLEAN_TABLE[[#This Row],[Farmer_Type]]="Smart", 1 - (CLEAN_TABLE[[#This Row],[Irrigation]] / 70), 1 - (CLEAN_TABLE[[#This Row],[Irrigation]] / 150))</f>
        <v>0.44293333333333329</v>
      </c>
      <c r="R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909.22</v>
      </c>
    </row>
    <row r="11" spans="1:19">
      <c r="A11" s="6">
        <f>FARM_DATA[[#This Row],[Date]]</f>
        <v>45392</v>
      </c>
      <c r="B11" s="5" t="str">
        <f>FARM_DATA[[#This Row],[Farmer_Type]]</f>
        <v>Traditional</v>
      </c>
      <c r="C11" s="8">
        <f>FARM_DATA[[#This Row],[Income]]</f>
        <v>348.21</v>
      </c>
      <c r="D11" s="8">
        <f>FARM_DATA[[#This Row],[Irrigation]]</f>
        <v>85.65</v>
      </c>
      <c r="E11" s="8">
        <f>FARM_DATA[[#This Row],[Seeds]]</f>
        <v>0.7</v>
      </c>
      <c r="F11" s="8">
        <f>FARM_DATA[[#This Row],[Fertilizer]]</f>
        <v>71.44</v>
      </c>
      <c r="G11" s="8">
        <f>FARM_DATA[[#This Row],[Labor]]</f>
        <v>112.18</v>
      </c>
      <c r="H11" s="8">
        <f>FARM_DATA[[#This Row],[Household]]</f>
        <v>141.03</v>
      </c>
      <c r="I11" s="8">
        <f>FARM_DATA[[#This Row],[Medical]]</f>
        <v>20.73</v>
      </c>
      <c r="J11" s="8">
        <f>FARM_DATA[[#This Row],[Misc]]</f>
        <v>6.15</v>
      </c>
      <c r="K11" s="8">
        <f>FARM_DATA[[#This Row],[Total_Expenses]]</f>
        <v>437.88</v>
      </c>
      <c r="L11" s="30">
        <f>FARM_DATA[[#This Row],[Savings]]</f>
        <v>-89.67</v>
      </c>
      <c r="M11" s="5" t="str">
        <f>TEXT(CLEAN_TABLE[[#This Row],[Date]], "mmm")</f>
        <v>Apr</v>
      </c>
      <c r="N11" s="5">
        <f>YEAR(CLEAN_TABLE[[#This Row],[Date]])</f>
        <v>2024</v>
      </c>
      <c r="O11" s="5">
        <f>IF(CLEAN_TABLE[[#This Row],[Farmer_Type]]="Smart",0,1)</f>
        <v>1</v>
      </c>
      <c r="P11" s="7">
        <f>IFERROR(CLEAN_TABLE[[#This Row],[Savings]]/CLEAN_TABLE[[#This Row],[Income]],0)</f>
        <v>-0.25751701559403811</v>
      </c>
      <c r="Q11" s="7">
        <f>IF(CLEAN_TABLE[[#This Row],[Farmer_Type]]="Smart", 1 - (CLEAN_TABLE[[#This Row],[Irrigation]] / 70), 1 - (CLEAN_TABLE[[#This Row],[Irrigation]] / 150))</f>
        <v>0.42899999999999994</v>
      </c>
      <c r="R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786.09</v>
      </c>
    </row>
    <row r="12" spans="1:19">
      <c r="A12" s="6">
        <f>FARM_DATA[[#This Row],[Date]]</f>
        <v>45393</v>
      </c>
      <c r="B12" s="5" t="str">
        <f>FARM_DATA[[#This Row],[Farmer_Type]]</f>
        <v>Smart</v>
      </c>
      <c r="C12" s="8">
        <f>FARM_DATA[[#This Row],[Income]]</f>
        <v>906.07</v>
      </c>
      <c r="D12" s="8">
        <f>FARM_DATA[[#This Row],[Irrigation]]</f>
        <v>16.79</v>
      </c>
      <c r="E12" s="8">
        <f>FARM_DATA[[#This Row],[Seeds]]</f>
        <v>89.56</v>
      </c>
      <c r="F12" s="8">
        <f>FARM_DATA[[#This Row],[Fertilizer]]</f>
        <v>64.45</v>
      </c>
      <c r="G12" s="8">
        <f>FARM_DATA[[#This Row],[Labor]]</f>
        <v>78.83</v>
      </c>
      <c r="H12" s="8">
        <f>FARM_DATA[[#This Row],[Household]]</f>
        <v>152.44</v>
      </c>
      <c r="I12" s="8">
        <f>FARM_DATA[[#This Row],[Medical]]</f>
        <v>30.24</v>
      </c>
      <c r="J12" s="8">
        <f>FARM_DATA[[#This Row],[Misc]]</f>
        <v>44.93</v>
      </c>
      <c r="K12" s="8">
        <f>FARM_DATA[[#This Row],[Total_Expenses]]</f>
        <v>477.23</v>
      </c>
      <c r="L12" s="30">
        <f>FARM_DATA[[#This Row],[Savings]]</f>
        <v>428.83</v>
      </c>
      <c r="M12" s="5" t="str">
        <f>TEXT(CLEAN_TABLE[[#This Row],[Date]], "mmm")</f>
        <v>Apr</v>
      </c>
      <c r="N12" s="5">
        <f>YEAR(CLEAN_TABLE[[#This Row],[Date]])</f>
        <v>2024</v>
      </c>
      <c r="O12" s="5">
        <f>IF(CLEAN_TABLE[[#This Row],[Farmer_Type]]="Smart",0,1)</f>
        <v>0</v>
      </c>
      <c r="P12" s="7">
        <f>IFERROR(CLEAN_TABLE[[#This Row],[Savings]]/CLEAN_TABLE[[#This Row],[Income]],0)</f>
        <v>0.47328572847572481</v>
      </c>
      <c r="Q12" s="7">
        <f>IF(CLEAN_TABLE[[#This Row],[Farmer_Type]]="Smart", 1 - (CLEAN_TABLE[[#This Row],[Irrigation]] / 70), 1 - (CLEAN_TABLE[[#This Row],[Irrigation]] / 150))</f>
        <v>0.76014285714285712</v>
      </c>
      <c r="R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1383.3100000000002</v>
      </c>
    </row>
    <row r="13" spans="1:19">
      <c r="A13" s="6">
        <f>FARM_DATA[[#This Row],[Date]]</f>
        <v>45394</v>
      </c>
      <c r="B13" s="5" t="str">
        <f>FARM_DATA[[#This Row],[Farmer_Type]]</f>
        <v>Smart</v>
      </c>
      <c r="C13" s="8">
        <f>FARM_DATA[[#This Row],[Income]]</f>
        <v>844.05</v>
      </c>
      <c r="D13" s="8">
        <f>FARM_DATA[[#This Row],[Irrigation]]</f>
        <v>17.57</v>
      </c>
      <c r="E13" s="8">
        <f>FARM_DATA[[#This Row],[Seeds]]</f>
        <v>61.94</v>
      </c>
      <c r="F13" s="8">
        <f>FARM_DATA[[#This Row],[Fertilizer]]</f>
        <v>109.06</v>
      </c>
      <c r="G13" s="8">
        <f>FARM_DATA[[#This Row],[Labor]]</f>
        <v>80.959999999999994</v>
      </c>
      <c r="H13" s="8">
        <f>FARM_DATA[[#This Row],[Household]]</f>
        <v>158.53</v>
      </c>
      <c r="I13" s="8">
        <f>FARM_DATA[[#This Row],[Medical]]</f>
        <v>18.47</v>
      </c>
      <c r="J13" s="8">
        <f>FARM_DATA[[#This Row],[Misc]]</f>
        <v>18.05</v>
      </c>
      <c r="K13" s="8">
        <f>FARM_DATA[[#This Row],[Total_Expenses]]</f>
        <v>464.58</v>
      </c>
      <c r="L13" s="30">
        <f>FARM_DATA[[#This Row],[Savings]]</f>
        <v>379.47</v>
      </c>
      <c r="M13" s="5" t="str">
        <f>TEXT(CLEAN_TABLE[[#This Row],[Date]], "mmm")</f>
        <v>Apr</v>
      </c>
      <c r="N13" s="5">
        <f>YEAR(CLEAN_TABLE[[#This Row],[Date]])</f>
        <v>2024</v>
      </c>
      <c r="O13" s="5">
        <f>IF(CLEAN_TABLE[[#This Row],[Farmer_Type]]="Smart",0,1)</f>
        <v>0</v>
      </c>
      <c r="P13" s="7">
        <f>IFERROR(CLEAN_TABLE[[#This Row],[Savings]]/CLEAN_TABLE[[#This Row],[Income]],0)</f>
        <v>0.44958237071263557</v>
      </c>
      <c r="Q13" s="7">
        <f>IF(CLEAN_TABLE[[#This Row],[Farmer_Type]]="Smart", 1 - (CLEAN_TABLE[[#This Row],[Irrigation]] / 70), 1 - (CLEAN_TABLE[[#This Row],[Irrigation]] / 150))</f>
        <v>0.749</v>
      </c>
      <c r="R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1308.6299999999999</v>
      </c>
    </row>
    <row r="14" spans="1:19">
      <c r="A14" s="6">
        <f>FARM_DATA[[#This Row],[Date]]</f>
        <v>45395</v>
      </c>
      <c r="B14" s="5" t="str">
        <f>FARM_DATA[[#This Row],[Farmer_Type]]</f>
        <v>Traditional</v>
      </c>
      <c r="C14" s="8">
        <f>FARM_DATA[[#This Row],[Income]]</f>
        <v>364.81</v>
      </c>
      <c r="D14" s="8">
        <f>FARM_DATA[[#This Row],[Irrigation]]</f>
        <v>72.61</v>
      </c>
      <c r="E14" s="8">
        <f>FARM_DATA[[#This Row],[Seeds]]</f>
        <v>40.08</v>
      </c>
      <c r="F14" s="8">
        <f>FARM_DATA[[#This Row],[Fertilizer]]</f>
        <v>50.31</v>
      </c>
      <c r="G14" s="8">
        <f>FARM_DATA[[#This Row],[Labor]]</f>
        <v>74.62</v>
      </c>
      <c r="H14" s="8">
        <f>FARM_DATA[[#This Row],[Household]]</f>
        <v>137.38</v>
      </c>
      <c r="I14" s="8">
        <f>FARM_DATA[[#This Row],[Medical]]</f>
        <v>17.260000000000002</v>
      </c>
      <c r="J14" s="8">
        <f>FARM_DATA[[#This Row],[Misc]]</f>
        <v>20.37</v>
      </c>
      <c r="K14" s="8">
        <f>FARM_DATA[[#This Row],[Total_Expenses]]</f>
        <v>412.62</v>
      </c>
      <c r="L14" s="30">
        <f>FARM_DATA[[#This Row],[Savings]]</f>
        <v>-47.82</v>
      </c>
      <c r="M14" s="5" t="str">
        <f>TEXT(CLEAN_TABLE[[#This Row],[Date]], "mmm")</f>
        <v>Apr</v>
      </c>
      <c r="N14" s="5">
        <f>YEAR(CLEAN_TABLE[[#This Row],[Date]])</f>
        <v>2024</v>
      </c>
      <c r="O14" s="5">
        <f>IF(CLEAN_TABLE[[#This Row],[Farmer_Type]]="Smart",0,1)</f>
        <v>1</v>
      </c>
      <c r="P14" s="7">
        <f>IFERROR(CLEAN_TABLE[[#This Row],[Savings]]/CLEAN_TABLE[[#This Row],[Income]],0)</f>
        <v>-0.13108193306104549</v>
      </c>
      <c r="Q14" s="7">
        <f>IF(CLEAN_TABLE[[#This Row],[Farmer_Type]]="Smart", 1 - (CLEAN_TABLE[[#This Row],[Irrigation]] / 70), 1 - (CLEAN_TABLE[[#This Row],[Irrigation]] / 150))</f>
        <v>0.51593333333333335</v>
      </c>
      <c r="R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777.43999999999994</v>
      </c>
    </row>
    <row r="15" spans="1:19">
      <c r="A15" s="6">
        <f>FARM_DATA[[#This Row],[Date]]</f>
        <v>45396</v>
      </c>
      <c r="B15" s="5" t="str">
        <f>FARM_DATA[[#This Row],[Farmer_Type]]</f>
        <v>Traditional</v>
      </c>
      <c r="C15" s="8">
        <f>FARM_DATA[[#This Row],[Income]]</f>
        <v>341.94</v>
      </c>
      <c r="D15" s="8">
        <f>FARM_DATA[[#This Row],[Irrigation]]</f>
        <v>74.040000000000006</v>
      </c>
      <c r="E15" s="8">
        <f>FARM_DATA[[#This Row],[Seeds]]</f>
        <v>68.290000000000006</v>
      </c>
      <c r="F15" s="8">
        <f>FARM_DATA[[#This Row],[Fertilizer]]</f>
        <v>58.49</v>
      </c>
      <c r="G15" s="8">
        <f>FARM_DATA[[#This Row],[Labor]]</f>
        <v>116.44</v>
      </c>
      <c r="H15" s="8">
        <f>FARM_DATA[[#This Row],[Household]]</f>
        <v>147.77000000000001</v>
      </c>
      <c r="I15" s="8">
        <f>FARM_DATA[[#This Row],[Medical]]</f>
        <v>4.6500000000000004</v>
      </c>
      <c r="J15" s="8">
        <f>FARM_DATA[[#This Row],[Misc]]</f>
        <v>29.68</v>
      </c>
      <c r="K15" s="8">
        <f>FARM_DATA[[#This Row],[Total_Expenses]]</f>
        <v>499.36</v>
      </c>
      <c r="L15" s="30">
        <f>FARM_DATA[[#This Row],[Savings]]</f>
        <v>-157.43</v>
      </c>
      <c r="M15" s="5" t="str">
        <f>TEXT(CLEAN_TABLE[[#This Row],[Date]], "mmm")</f>
        <v>Apr</v>
      </c>
      <c r="N15" s="5">
        <f>YEAR(CLEAN_TABLE[[#This Row],[Date]])</f>
        <v>2024</v>
      </c>
      <c r="O15" s="5">
        <f>IF(CLEAN_TABLE[[#This Row],[Farmer_Type]]="Smart",0,1)</f>
        <v>1</v>
      </c>
      <c r="P15" s="7">
        <f>IFERROR(CLEAN_TABLE[[#This Row],[Savings]]/CLEAN_TABLE[[#This Row],[Income]],0)</f>
        <v>-0.46040240977949348</v>
      </c>
      <c r="Q15" s="7">
        <f>IF(CLEAN_TABLE[[#This Row],[Farmer_Type]]="Smart", 1 - (CLEAN_TABLE[[#This Row],[Irrigation]] / 70), 1 - (CLEAN_TABLE[[#This Row],[Irrigation]] / 150))</f>
        <v>0.50639999999999996</v>
      </c>
      <c r="R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841.3</v>
      </c>
    </row>
    <row r="16" spans="1:19">
      <c r="A16" s="6">
        <f>FARM_DATA[[#This Row],[Date]]</f>
        <v>45397</v>
      </c>
      <c r="B16" s="5" t="str">
        <f>FARM_DATA[[#This Row],[Farmer_Type]]</f>
        <v>Smart</v>
      </c>
      <c r="C16" s="8">
        <f>FARM_DATA[[#This Row],[Income]]</f>
        <v>962.05</v>
      </c>
      <c r="D16" s="8">
        <f>FARM_DATA[[#This Row],[Irrigation]]</f>
        <v>27.32</v>
      </c>
      <c r="E16" s="8">
        <f>FARM_DATA[[#This Row],[Seeds]]</f>
        <v>56.15</v>
      </c>
      <c r="F16" s="8">
        <f>FARM_DATA[[#This Row],[Fertilizer]]</f>
        <v>89.05</v>
      </c>
      <c r="G16" s="8">
        <f>FARM_DATA[[#This Row],[Labor]]</f>
        <v>94.31</v>
      </c>
      <c r="H16" s="8">
        <f>FARM_DATA[[#This Row],[Household]]</f>
        <v>129.1</v>
      </c>
      <c r="I16" s="8">
        <f>FARM_DATA[[#This Row],[Medical]]</f>
        <v>32.29</v>
      </c>
      <c r="J16" s="8">
        <f>FARM_DATA[[#This Row],[Misc]]</f>
        <v>51.28</v>
      </c>
      <c r="K16" s="8">
        <f>FARM_DATA[[#This Row],[Total_Expenses]]</f>
        <v>479.48</v>
      </c>
      <c r="L16" s="30">
        <f>FARM_DATA[[#This Row],[Savings]]</f>
        <v>482.56</v>
      </c>
      <c r="M16" s="5" t="str">
        <f>TEXT(CLEAN_TABLE[[#This Row],[Date]], "mmm")</f>
        <v>Apr</v>
      </c>
      <c r="N16" s="5">
        <f>YEAR(CLEAN_TABLE[[#This Row],[Date]])</f>
        <v>2024</v>
      </c>
      <c r="O16" s="5">
        <f>IF(CLEAN_TABLE[[#This Row],[Farmer_Type]]="Smart",0,1)</f>
        <v>0</v>
      </c>
      <c r="P16" s="7">
        <f>IFERROR(CLEAN_TABLE[[#This Row],[Savings]]/CLEAN_TABLE[[#This Row],[Income]],0)</f>
        <v>0.50159555116677934</v>
      </c>
      <c r="Q16" s="7">
        <f>IF(CLEAN_TABLE[[#This Row],[Farmer_Type]]="Smart", 1 - (CLEAN_TABLE[[#This Row],[Irrigation]] / 70), 1 - (CLEAN_TABLE[[#This Row],[Irrigation]] / 150))</f>
        <v>0.60971428571428565</v>
      </c>
      <c r="R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1441.5499999999997</v>
      </c>
    </row>
    <row r="17" spans="1:19">
      <c r="A17" s="6">
        <f>FARM_DATA[[#This Row],[Date]]</f>
        <v>45398</v>
      </c>
      <c r="B17" s="5" t="str">
        <f>FARM_DATA[[#This Row],[Farmer_Type]]</f>
        <v>Traditional</v>
      </c>
      <c r="C17" s="8">
        <f>FARM_DATA[[#This Row],[Income]]</f>
        <v>389.55</v>
      </c>
      <c r="D17" s="8">
        <f>FARM_DATA[[#This Row],[Irrigation]]</f>
        <v>60.91</v>
      </c>
      <c r="E17" s="8">
        <f>FARM_DATA[[#This Row],[Seeds]]</f>
        <v>61.04</v>
      </c>
      <c r="F17" s="8">
        <f>FARM_DATA[[#This Row],[Fertilizer]]</f>
        <v>26.96</v>
      </c>
      <c r="G17" s="8">
        <f>FARM_DATA[[#This Row],[Labor]]</f>
        <v>124.67</v>
      </c>
      <c r="H17" s="8">
        <f>FARM_DATA[[#This Row],[Household]]</f>
        <v>215.71</v>
      </c>
      <c r="I17" s="8">
        <f>FARM_DATA[[#This Row],[Medical]]</f>
        <v>12.08</v>
      </c>
      <c r="J17" s="8">
        <f>FARM_DATA[[#This Row],[Misc]]</f>
        <v>23.2</v>
      </c>
      <c r="K17" s="8">
        <f>FARM_DATA[[#This Row],[Total_Expenses]]</f>
        <v>524.58000000000004</v>
      </c>
      <c r="L17" s="30">
        <f>FARM_DATA[[#This Row],[Savings]]</f>
        <v>-135.02000000000001</v>
      </c>
      <c r="M17" s="5" t="str">
        <f>TEXT(CLEAN_TABLE[[#This Row],[Date]], "mmm")</f>
        <v>Apr</v>
      </c>
      <c r="N17" s="5">
        <f>YEAR(CLEAN_TABLE[[#This Row],[Date]])</f>
        <v>2024</v>
      </c>
      <c r="O17" s="5">
        <f>IF(CLEAN_TABLE[[#This Row],[Farmer_Type]]="Smart",0,1)</f>
        <v>1</v>
      </c>
      <c r="P17" s="7">
        <f>IFERROR(CLEAN_TABLE[[#This Row],[Savings]]/CLEAN_TABLE[[#This Row],[Income]],0)</f>
        <v>-0.34660505711718653</v>
      </c>
      <c r="Q17" s="7">
        <f>IF(CLEAN_TABLE[[#This Row],[Farmer_Type]]="Smart", 1 - (CLEAN_TABLE[[#This Row],[Irrigation]] / 70), 1 - (CLEAN_TABLE[[#This Row],[Irrigation]] / 150))</f>
        <v>0.59393333333333342</v>
      </c>
      <c r="R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914.12000000000012</v>
      </c>
    </row>
    <row r="18" spans="1:19">
      <c r="A18" s="6">
        <f>FARM_DATA[[#This Row],[Date]]</f>
        <v>45399</v>
      </c>
      <c r="B18" s="5" t="str">
        <f>FARM_DATA[[#This Row],[Farmer_Type]]</f>
        <v>Traditional</v>
      </c>
      <c r="C18" s="8">
        <f>FARM_DATA[[#This Row],[Income]]</f>
        <v>354.98</v>
      </c>
      <c r="D18" s="8">
        <f>FARM_DATA[[#This Row],[Irrigation]]</f>
        <v>64.97</v>
      </c>
      <c r="E18" s="8">
        <f>FARM_DATA[[#This Row],[Seeds]]</f>
        <v>16.739999999999998</v>
      </c>
      <c r="F18" s="8">
        <f>FARM_DATA[[#This Row],[Fertilizer]]</f>
        <v>56.37</v>
      </c>
      <c r="G18" s="8">
        <f>FARM_DATA[[#This Row],[Labor]]</f>
        <v>83.44</v>
      </c>
      <c r="H18" s="8">
        <f>FARM_DATA[[#This Row],[Household]]</f>
        <v>164.21</v>
      </c>
      <c r="I18" s="8">
        <f>FARM_DATA[[#This Row],[Medical]]</f>
        <v>12.64</v>
      </c>
      <c r="J18" s="8">
        <f>FARM_DATA[[#This Row],[Misc]]</f>
        <v>48.6</v>
      </c>
      <c r="K18" s="8">
        <f>FARM_DATA[[#This Row],[Total_Expenses]]</f>
        <v>446.97</v>
      </c>
      <c r="L18" s="30">
        <f>FARM_DATA[[#This Row],[Savings]]</f>
        <v>-91.99</v>
      </c>
      <c r="M18" s="5" t="str">
        <f>TEXT(CLEAN_TABLE[[#This Row],[Date]], "mmm")</f>
        <v>Apr</v>
      </c>
      <c r="N18" s="5">
        <f>YEAR(CLEAN_TABLE[[#This Row],[Date]])</f>
        <v>2024</v>
      </c>
      <c r="O18" s="5">
        <f>IF(CLEAN_TABLE[[#This Row],[Farmer_Type]]="Smart",0,1)</f>
        <v>1</v>
      </c>
      <c r="P18" s="7">
        <f>IFERROR(CLEAN_TABLE[[#This Row],[Savings]]/CLEAN_TABLE[[#This Row],[Income]],0)</f>
        <v>-0.25914136007662403</v>
      </c>
      <c r="Q18" s="7">
        <f>IF(CLEAN_TABLE[[#This Row],[Farmer_Type]]="Smart", 1 - (CLEAN_TABLE[[#This Row],[Irrigation]] / 70), 1 - (CLEAN_TABLE[[#This Row],[Irrigation]] / 150))</f>
        <v>0.56686666666666663</v>
      </c>
      <c r="R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801.95</v>
      </c>
    </row>
    <row r="19" spans="1:19">
      <c r="A19" s="6">
        <f>FARM_DATA[[#This Row],[Date]]</f>
        <v>45400</v>
      </c>
      <c r="B19" s="5" t="str">
        <f>FARM_DATA[[#This Row],[Farmer_Type]]</f>
        <v>Smart</v>
      </c>
      <c r="C19" s="8">
        <f>FARM_DATA[[#This Row],[Income]]</f>
        <v>793.35</v>
      </c>
      <c r="D19" s="8">
        <f>FARM_DATA[[#This Row],[Irrigation]]</f>
        <v>13.39</v>
      </c>
      <c r="E19" s="8">
        <f>FARM_DATA[[#This Row],[Seeds]]</f>
        <v>76.27</v>
      </c>
      <c r="F19" s="8">
        <f>FARM_DATA[[#This Row],[Fertilizer]]</f>
        <v>43.07</v>
      </c>
      <c r="G19" s="8">
        <f>FARM_DATA[[#This Row],[Labor]]</f>
        <v>99.55</v>
      </c>
      <c r="H19" s="8">
        <f>FARM_DATA[[#This Row],[Household]]</f>
        <v>215.75</v>
      </c>
      <c r="I19" s="8">
        <f>FARM_DATA[[#This Row],[Medical]]</f>
        <v>7.53</v>
      </c>
      <c r="J19" s="8">
        <f>FARM_DATA[[#This Row],[Misc]]</f>
        <v>42.77</v>
      </c>
      <c r="K19" s="8">
        <f>FARM_DATA[[#This Row],[Total_Expenses]]</f>
        <v>498.34</v>
      </c>
      <c r="L19" s="30">
        <f>FARM_DATA[[#This Row],[Savings]]</f>
        <v>295.01</v>
      </c>
      <c r="M19" s="5" t="str">
        <f>TEXT(CLEAN_TABLE[[#This Row],[Date]], "mmm")</f>
        <v>Apr</v>
      </c>
      <c r="N19" s="5">
        <f>YEAR(CLEAN_TABLE[[#This Row],[Date]])</f>
        <v>2024</v>
      </c>
      <c r="O19" s="5">
        <f>IF(CLEAN_TABLE[[#This Row],[Farmer_Type]]="Smart",0,1)</f>
        <v>0</v>
      </c>
      <c r="P19" s="7">
        <f>IFERROR(CLEAN_TABLE[[#This Row],[Savings]]/CLEAN_TABLE[[#This Row],[Income]],0)</f>
        <v>0.37185353248881325</v>
      </c>
      <c r="Q19" s="7">
        <f>IF(CLEAN_TABLE[[#This Row],[Farmer_Type]]="Smart", 1 - (CLEAN_TABLE[[#This Row],[Irrigation]] / 70), 1 - (CLEAN_TABLE[[#This Row],[Irrigation]] / 150))</f>
        <v>0.80871428571428572</v>
      </c>
      <c r="R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1291.68</v>
      </c>
    </row>
    <row r="20" spans="1:19">
      <c r="A20" s="6">
        <f>FARM_DATA[[#This Row],[Date]]</f>
        <v>45401</v>
      </c>
      <c r="B20" s="5" t="str">
        <f>FARM_DATA[[#This Row],[Farmer_Type]]</f>
        <v>Smart</v>
      </c>
      <c r="C20" s="8">
        <f>FARM_DATA[[#This Row],[Income]]</f>
        <v>1001.98</v>
      </c>
      <c r="D20" s="8">
        <f>FARM_DATA[[#This Row],[Irrigation]]</f>
        <v>18.91</v>
      </c>
      <c r="E20" s="8">
        <f>FARM_DATA[[#This Row],[Seeds]]</f>
        <v>35.26</v>
      </c>
      <c r="F20" s="8">
        <f>FARM_DATA[[#This Row],[Fertilizer]]</f>
        <v>40.39</v>
      </c>
      <c r="G20" s="8">
        <f>FARM_DATA[[#This Row],[Labor]]</f>
        <v>105.44</v>
      </c>
      <c r="H20" s="8">
        <f>FARM_DATA[[#This Row],[Household]]</f>
        <v>180.39</v>
      </c>
      <c r="I20" s="8">
        <f>FARM_DATA[[#This Row],[Medical]]</f>
        <v>24.25</v>
      </c>
      <c r="J20" s="8">
        <f>FARM_DATA[[#This Row],[Misc]]</f>
        <v>45.2</v>
      </c>
      <c r="K20" s="8">
        <f>FARM_DATA[[#This Row],[Total_Expenses]]</f>
        <v>449.84</v>
      </c>
      <c r="L20" s="30">
        <f>FARM_DATA[[#This Row],[Savings]]</f>
        <v>552.14</v>
      </c>
      <c r="M20" s="5" t="str">
        <f>TEXT(CLEAN_TABLE[[#This Row],[Date]], "mmm")</f>
        <v>Apr</v>
      </c>
      <c r="N20" s="5">
        <f>YEAR(CLEAN_TABLE[[#This Row],[Date]])</f>
        <v>2024</v>
      </c>
      <c r="O20" s="5">
        <f>IF(CLEAN_TABLE[[#This Row],[Farmer_Type]]="Smart",0,1)</f>
        <v>0</v>
      </c>
      <c r="P20" s="7">
        <f>IFERROR(CLEAN_TABLE[[#This Row],[Savings]]/CLEAN_TABLE[[#This Row],[Income]],0)</f>
        <v>0.55104892313219822</v>
      </c>
      <c r="Q20" s="7">
        <f>IF(CLEAN_TABLE[[#This Row],[Farmer_Type]]="Smart", 1 - (CLEAN_TABLE[[#This Row],[Irrigation]] / 70), 1 - (CLEAN_TABLE[[#This Row],[Irrigation]] / 150))</f>
        <v>0.72985714285714287</v>
      </c>
      <c r="R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1451.8200000000004</v>
      </c>
    </row>
    <row r="21" spans="1:19">
      <c r="A21" s="6">
        <f>FARM_DATA[[#This Row],[Date]]</f>
        <v>45402</v>
      </c>
      <c r="B21" s="5" t="str">
        <f>FARM_DATA[[#This Row],[Farmer_Type]]</f>
        <v>Smart</v>
      </c>
      <c r="C21" s="8">
        <f>FARM_DATA[[#This Row],[Income]]</f>
        <v>814</v>
      </c>
      <c r="D21" s="8">
        <f>FARM_DATA[[#This Row],[Irrigation]]</f>
        <v>16.16</v>
      </c>
      <c r="E21" s="8">
        <f>FARM_DATA[[#This Row],[Seeds]]</f>
        <v>65.86</v>
      </c>
      <c r="F21" s="8">
        <f>FARM_DATA[[#This Row],[Fertilizer]]</f>
        <v>58.57</v>
      </c>
      <c r="G21" s="8">
        <f>FARM_DATA[[#This Row],[Labor]]</f>
        <v>132.32</v>
      </c>
      <c r="H21" s="8">
        <f>FARM_DATA[[#This Row],[Household]]</f>
        <v>186.58</v>
      </c>
      <c r="I21" s="8">
        <f>FARM_DATA[[#This Row],[Medical]]</f>
        <v>11.28</v>
      </c>
      <c r="J21" s="8">
        <f>FARM_DATA[[#This Row],[Misc]]</f>
        <v>49.85</v>
      </c>
      <c r="K21" s="8">
        <f>FARM_DATA[[#This Row],[Total_Expenses]]</f>
        <v>520.62</v>
      </c>
      <c r="L21" s="30">
        <f>FARM_DATA[[#This Row],[Savings]]</f>
        <v>293.38</v>
      </c>
      <c r="M21" s="5" t="str">
        <f>TEXT(CLEAN_TABLE[[#This Row],[Date]], "mmm")</f>
        <v>Apr</v>
      </c>
      <c r="N21" s="5">
        <f>YEAR(CLEAN_TABLE[[#This Row],[Date]])</f>
        <v>2024</v>
      </c>
      <c r="O21" s="5">
        <f>IF(CLEAN_TABLE[[#This Row],[Farmer_Type]]="Smart",0,1)</f>
        <v>0</v>
      </c>
      <c r="P21" s="7">
        <f>IFERROR(CLEAN_TABLE[[#This Row],[Savings]]/CLEAN_TABLE[[#This Row],[Income]],0)</f>
        <v>0.3604176904176904</v>
      </c>
      <c r="Q21" s="7">
        <f>IF(CLEAN_TABLE[[#This Row],[Farmer_Type]]="Smart", 1 - (CLEAN_TABLE[[#This Row],[Irrigation]] / 70), 1 - (CLEAN_TABLE[[#This Row],[Irrigation]] / 150))</f>
        <v>0.76914285714285713</v>
      </c>
      <c r="R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1334.62</v>
      </c>
    </row>
    <row r="22" spans="1:19">
      <c r="A22" s="6">
        <f>FARM_DATA[[#This Row],[Date]]</f>
        <v>45403</v>
      </c>
      <c r="B22" s="5" t="str">
        <f>FARM_DATA[[#This Row],[Farmer_Type]]</f>
        <v>Traditional</v>
      </c>
      <c r="C22" s="8">
        <f>FARM_DATA[[#This Row],[Income]]</f>
        <v>301.27</v>
      </c>
      <c r="D22" s="8">
        <f>FARM_DATA[[#This Row],[Irrigation]]</f>
        <v>77.87</v>
      </c>
      <c r="E22" s="8">
        <f>FARM_DATA[[#This Row],[Seeds]]</f>
        <v>57.38</v>
      </c>
      <c r="F22" s="8">
        <f>FARM_DATA[[#This Row],[Fertilizer]]</f>
        <v>38.590000000000003</v>
      </c>
      <c r="G22" s="8">
        <f>FARM_DATA[[#This Row],[Labor]]</f>
        <v>134.08000000000001</v>
      </c>
      <c r="H22" s="8">
        <f>FARM_DATA[[#This Row],[Household]]</f>
        <v>162.38</v>
      </c>
      <c r="I22" s="8">
        <f>FARM_DATA[[#This Row],[Medical]]</f>
        <v>26.58</v>
      </c>
      <c r="J22" s="8">
        <f>FARM_DATA[[#This Row],[Misc]]</f>
        <v>52.76</v>
      </c>
      <c r="K22" s="8">
        <f>FARM_DATA[[#This Row],[Total_Expenses]]</f>
        <v>549.64</v>
      </c>
      <c r="L22" s="30">
        <f>FARM_DATA[[#This Row],[Savings]]</f>
        <v>-248.38</v>
      </c>
      <c r="M22" s="5" t="str">
        <f>TEXT(CLEAN_TABLE[[#This Row],[Date]], "mmm")</f>
        <v>Apr</v>
      </c>
      <c r="N22" s="5">
        <f>YEAR(CLEAN_TABLE[[#This Row],[Date]])</f>
        <v>2024</v>
      </c>
      <c r="O22" s="5">
        <f>IF(CLEAN_TABLE[[#This Row],[Farmer_Type]]="Smart",0,1)</f>
        <v>1</v>
      </c>
      <c r="P22" s="7">
        <f>IFERROR(CLEAN_TABLE[[#This Row],[Savings]]/CLEAN_TABLE[[#This Row],[Income]],0)</f>
        <v>-0.82444319049357717</v>
      </c>
      <c r="Q22" s="7">
        <f>IF(CLEAN_TABLE[[#This Row],[Farmer_Type]]="Smart", 1 - (CLEAN_TABLE[[#This Row],[Irrigation]] / 70), 1 - (CLEAN_TABLE[[#This Row],[Irrigation]] / 150))</f>
        <v>0.48086666666666666</v>
      </c>
      <c r="R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850.91000000000008</v>
      </c>
    </row>
    <row r="23" spans="1:19">
      <c r="A23" s="6">
        <f>FARM_DATA[[#This Row],[Date]]</f>
        <v>45404</v>
      </c>
      <c r="B23" s="5" t="str">
        <f>FARM_DATA[[#This Row],[Farmer_Type]]</f>
        <v>Traditional</v>
      </c>
      <c r="C23" s="8">
        <f>FARM_DATA[[#This Row],[Income]]</f>
        <v>337.73</v>
      </c>
      <c r="D23" s="8">
        <f>FARM_DATA[[#This Row],[Irrigation]]</f>
        <v>62.46</v>
      </c>
      <c r="E23" s="8">
        <f>FARM_DATA[[#This Row],[Seeds]]</f>
        <v>26.66</v>
      </c>
      <c r="F23" s="8">
        <f>FARM_DATA[[#This Row],[Fertilizer]]</f>
        <v>38.68</v>
      </c>
      <c r="G23" s="8">
        <f>FARM_DATA[[#This Row],[Labor]]</f>
        <v>108.07</v>
      </c>
      <c r="H23" s="8">
        <f>FARM_DATA[[#This Row],[Household]]</f>
        <v>160.22999999999999</v>
      </c>
      <c r="I23" s="8">
        <f>FARM_DATA[[#This Row],[Medical]]</f>
        <v>22.21</v>
      </c>
      <c r="J23" s="8">
        <f>FARM_DATA[[#This Row],[Misc]]</f>
        <v>39.93</v>
      </c>
      <c r="K23" s="8">
        <f>FARM_DATA[[#This Row],[Total_Expenses]]</f>
        <v>458.25</v>
      </c>
      <c r="L23" s="30">
        <f>FARM_DATA[[#This Row],[Savings]]</f>
        <v>-120.52</v>
      </c>
      <c r="M23" s="5" t="str">
        <f>TEXT(CLEAN_TABLE[[#This Row],[Date]], "mmm")</f>
        <v>Apr</v>
      </c>
      <c r="N23" s="5">
        <f>YEAR(CLEAN_TABLE[[#This Row],[Date]])</f>
        <v>2024</v>
      </c>
      <c r="O23" s="5">
        <f>IF(CLEAN_TABLE[[#This Row],[Farmer_Type]]="Smart",0,1)</f>
        <v>1</v>
      </c>
      <c r="P23" s="7">
        <f>IFERROR(CLEAN_TABLE[[#This Row],[Savings]]/CLEAN_TABLE[[#This Row],[Income]],0)</f>
        <v>-0.35685310751191779</v>
      </c>
      <c r="Q23" s="7">
        <f>IF(CLEAN_TABLE[[#This Row],[Farmer_Type]]="Smart", 1 - (CLEAN_TABLE[[#This Row],[Irrigation]] / 70), 1 - (CLEAN_TABLE[[#This Row],[Irrigation]] / 150))</f>
        <v>0.58360000000000001</v>
      </c>
      <c r="R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795.97</v>
      </c>
    </row>
    <row r="24" spans="1:19">
      <c r="A24" s="6">
        <f>FARM_DATA[[#This Row],[Date]]</f>
        <v>45405</v>
      </c>
      <c r="B24" s="5" t="str">
        <f>FARM_DATA[[#This Row],[Farmer_Type]]</f>
        <v>Traditional</v>
      </c>
      <c r="C24" s="8">
        <f>FARM_DATA[[#This Row],[Income]]</f>
        <v>350.65</v>
      </c>
      <c r="D24" s="8">
        <f>FARM_DATA[[#This Row],[Irrigation]]</f>
        <v>84.54</v>
      </c>
      <c r="E24" s="8">
        <f>FARM_DATA[[#This Row],[Seeds]]</f>
        <v>36.03</v>
      </c>
      <c r="F24" s="8">
        <f>FARM_DATA[[#This Row],[Fertilizer]]</f>
        <v>109.4</v>
      </c>
      <c r="G24" s="8">
        <f>FARM_DATA[[#This Row],[Labor]]</f>
        <v>125.64</v>
      </c>
      <c r="H24" s="8">
        <f>FARM_DATA[[#This Row],[Household]]</f>
        <v>124.29</v>
      </c>
      <c r="I24" s="8">
        <f>FARM_DATA[[#This Row],[Medical]]</f>
        <v>11.43</v>
      </c>
      <c r="J24" s="8">
        <f>FARM_DATA[[#This Row],[Misc]]</f>
        <v>35.79</v>
      </c>
      <c r="K24" s="8">
        <f>FARM_DATA[[#This Row],[Total_Expenses]]</f>
        <v>527.12</v>
      </c>
      <c r="L24" s="30">
        <f>FARM_DATA[[#This Row],[Savings]]</f>
        <v>-176.47</v>
      </c>
      <c r="M24" s="5" t="str">
        <f>TEXT(CLEAN_TABLE[[#This Row],[Date]], "mmm")</f>
        <v>Apr</v>
      </c>
      <c r="N24" s="5">
        <f>YEAR(CLEAN_TABLE[[#This Row],[Date]])</f>
        <v>2024</v>
      </c>
      <c r="O24" s="5">
        <f>IF(CLEAN_TABLE[[#This Row],[Farmer_Type]]="Smart",0,1)</f>
        <v>1</v>
      </c>
      <c r="P24" s="7">
        <f>IFERROR(CLEAN_TABLE[[#This Row],[Savings]]/CLEAN_TABLE[[#This Row],[Income]],0)</f>
        <v>-0.50326536432339941</v>
      </c>
      <c r="Q24" s="7">
        <f>IF(CLEAN_TABLE[[#This Row],[Farmer_Type]]="Smart", 1 - (CLEAN_TABLE[[#This Row],[Irrigation]] / 70), 1 - (CLEAN_TABLE[[#This Row],[Irrigation]] / 150))</f>
        <v>0.43640000000000001</v>
      </c>
      <c r="R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877.76999999999987</v>
      </c>
    </row>
    <row r="25" spans="1:19">
      <c r="A25" s="6">
        <f>FARM_DATA[[#This Row],[Date]]</f>
        <v>45406</v>
      </c>
      <c r="B25" s="5" t="str">
        <f>FARM_DATA[[#This Row],[Farmer_Type]]</f>
        <v>Traditional</v>
      </c>
      <c r="C25" s="8">
        <f>FARM_DATA[[#This Row],[Income]]</f>
        <v>338.83</v>
      </c>
      <c r="D25" s="8">
        <f>FARM_DATA[[#This Row],[Irrigation]]</f>
        <v>77.14</v>
      </c>
      <c r="E25" s="8">
        <f>FARM_DATA[[#This Row],[Seeds]]</f>
        <v>47.1</v>
      </c>
      <c r="F25" s="8">
        <f>FARM_DATA[[#This Row],[Fertilizer]]</f>
        <v>53.54</v>
      </c>
      <c r="G25" s="8">
        <f>FARM_DATA[[#This Row],[Labor]]</f>
        <v>88.83</v>
      </c>
      <c r="H25" s="8">
        <f>FARM_DATA[[#This Row],[Household]]</f>
        <v>104.55</v>
      </c>
      <c r="I25" s="8">
        <f>FARM_DATA[[#This Row],[Medical]]</f>
        <v>16.43</v>
      </c>
      <c r="J25" s="8">
        <f>FARM_DATA[[#This Row],[Misc]]</f>
        <v>40.28</v>
      </c>
      <c r="K25" s="8">
        <f>FARM_DATA[[#This Row],[Total_Expenses]]</f>
        <v>427.87</v>
      </c>
      <c r="L25" s="30">
        <f>FARM_DATA[[#This Row],[Savings]]</f>
        <v>-89.04</v>
      </c>
      <c r="M25" s="5" t="str">
        <f>TEXT(CLEAN_TABLE[[#This Row],[Date]], "mmm")</f>
        <v>Apr</v>
      </c>
      <c r="N25" s="5">
        <f>YEAR(CLEAN_TABLE[[#This Row],[Date]])</f>
        <v>2024</v>
      </c>
      <c r="O25" s="5">
        <f>IF(CLEAN_TABLE[[#This Row],[Farmer_Type]]="Smart",0,1)</f>
        <v>1</v>
      </c>
      <c r="P25" s="7">
        <f>IFERROR(CLEAN_TABLE[[#This Row],[Savings]]/CLEAN_TABLE[[#This Row],[Income]],0)</f>
        <v>-0.26278664817164954</v>
      </c>
      <c r="Q25" s="7">
        <f>IF(CLEAN_TABLE[[#This Row],[Farmer_Type]]="Smart", 1 - (CLEAN_TABLE[[#This Row],[Irrigation]] / 70), 1 - (CLEAN_TABLE[[#This Row],[Irrigation]] / 150))</f>
        <v>0.48573333333333335</v>
      </c>
      <c r="R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766.69999999999993</v>
      </c>
    </row>
    <row r="26" spans="1:19">
      <c r="A26" s="6">
        <f>FARM_DATA[[#This Row],[Date]]</f>
        <v>45407</v>
      </c>
      <c r="B26" s="5" t="str">
        <f>FARM_DATA[[#This Row],[Farmer_Type]]</f>
        <v>Smart</v>
      </c>
      <c r="C26" s="8">
        <f>FARM_DATA[[#This Row],[Income]]</f>
        <v>992.82</v>
      </c>
      <c r="D26" s="8">
        <f>FARM_DATA[[#This Row],[Irrigation]]</f>
        <v>8.77</v>
      </c>
      <c r="E26" s="8">
        <f>FARM_DATA[[#This Row],[Seeds]]</f>
        <v>63.46</v>
      </c>
      <c r="F26" s="8">
        <f>FARM_DATA[[#This Row],[Fertilizer]]</f>
        <v>91.56</v>
      </c>
      <c r="G26" s="8">
        <f>FARM_DATA[[#This Row],[Labor]]</f>
        <v>77.319999999999993</v>
      </c>
      <c r="H26" s="8">
        <f>FARM_DATA[[#This Row],[Household]]</f>
        <v>175.38</v>
      </c>
      <c r="I26" s="8">
        <f>FARM_DATA[[#This Row],[Medical]]</f>
        <v>22.52</v>
      </c>
      <c r="J26" s="8">
        <f>FARM_DATA[[#This Row],[Misc]]</f>
        <v>22.86</v>
      </c>
      <c r="K26" s="8">
        <f>FARM_DATA[[#This Row],[Total_Expenses]]</f>
        <v>461.88</v>
      </c>
      <c r="L26" s="30">
        <f>FARM_DATA[[#This Row],[Savings]]</f>
        <v>530.94000000000005</v>
      </c>
      <c r="M26" s="5" t="str">
        <f>TEXT(CLEAN_TABLE[[#This Row],[Date]], "mmm")</f>
        <v>Apr</v>
      </c>
      <c r="N26" s="5">
        <f>YEAR(CLEAN_TABLE[[#This Row],[Date]])</f>
        <v>2024</v>
      </c>
      <c r="O26" s="5">
        <f>IF(CLEAN_TABLE[[#This Row],[Farmer_Type]]="Smart",0,1)</f>
        <v>0</v>
      </c>
      <c r="P26" s="7">
        <f>IFERROR(CLEAN_TABLE[[#This Row],[Savings]]/CLEAN_TABLE[[#This Row],[Income]],0)</f>
        <v>0.53477971837795368</v>
      </c>
      <c r="Q26" s="7">
        <f>IF(CLEAN_TABLE[[#This Row],[Farmer_Type]]="Smart", 1 - (CLEAN_TABLE[[#This Row],[Irrigation]] / 70), 1 - (CLEAN_TABLE[[#This Row],[Irrigation]] / 150))</f>
        <v>0.87471428571428578</v>
      </c>
      <c r="R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1454.6899999999998</v>
      </c>
    </row>
    <row r="27" spans="1:19">
      <c r="A27" s="6">
        <f>FARM_DATA[[#This Row],[Date]]</f>
        <v>45408</v>
      </c>
      <c r="B27" s="5" t="str">
        <f>FARM_DATA[[#This Row],[Farmer_Type]]</f>
        <v>Smart</v>
      </c>
      <c r="C27" s="8">
        <f>FARM_DATA[[#This Row],[Income]]</f>
        <v>1021.56</v>
      </c>
      <c r="D27" s="8">
        <f>FARM_DATA[[#This Row],[Irrigation]]</f>
        <v>17.8</v>
      </c>
      <c r="E27" s="8">
        <f>FARM_DATA[[#This Row],[Seeds]]</f>
        <v>81.66</v>
      </c>
      <c r="F27" s="8">
        <f>FARM_DATA[[#This Row],[Fertilizer]]</f>
        <v>111.61</v>
      </c>
      <c r="G27" s="8">
        <f>FARM_DATA[[#This Row],[Labor]]</f>
        <v>67.45</v>
      </c>
      <c r="H27" s="8">
        <f>FARM_DATA[[#This Row],[Household]]</f>
        <v>137.18</v>
      </c>
      <c r="I27" s="8">
        <f>FARM_DATA[[#This Row],[Medical]]</f>
        <v>26.64</v>
      </c>
      <c r="J27" s="8">
        <f>FARM_DATA[[#This Row],[Misc]]</f>
        <v>47.71</v>
      </c>
      <c r="K27" s="8">
        <f>FARM_DATA[[#This Row],[Total_Expenses]]</f>
        <v>490.04</v>
      </c>
      <c r="L27" s="30">
        <f>FARM_DATA[[#This Row],[Savings]]</f>
        <v>531.51</v>
      </c>
      <c r="M27" s="5" t="str">
        <f>TEXT(CLEAN_TABLE[[#This Row],[Date]], "mmm")</f>
        <v>Apr</v>
      </c>
      <c r="N27" s="5">
        <f>YEAR(CLEAN_TABLE[[#This Row],[Date]])</f>
        <v>2024</v>
      </c>
      <c r="O27" s="5">
        <f>IF(CLEAN_TABLE[[#This Row],[Farmer_Type]]="Smart",0,1)</f>
        <v>0</v>
      </c>
      <c r="P27" s="7">
        <f>IFERROR(CLEAN_TABLE[[#This Row],[Savings]]/CLEAN_TABLE[[#This Row],[Income]],0)</f>
        <v>0.52029249383296139</v>
      </c>
      <c r="Q27" s="7">
        <f>IF(CLEAN_TABLE[[#This Row],[Farmer_Type]]="Smart", 1 - (CLEAN_TABLE[[#This Row],[Irrigation]] / 70), 1 - (CLEAN_TABLE[[#This Row],[Irrigation]] / 150))</f>
        <v>0.74571428571428577</v>
      </c>
      <c r="R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1511.6100000000001</v>
      </c>
    </row>
    <row r="28" spans="1:19">
      <c r="A28" s="6">
        <f>FARM_DATA[[#This Row],[Date]]</f>
        <v>45409</v>
      </c>
      <c r="B28" s="5" t="str">
        <f>FARM_DATA[[#This Row],[Farmer_Type]]</f>
        <v>Traditional</v>
      </c>
      <c r="C28" s="8">
        <f>FARM_DATA[[#This Row],[Income]]</f>
        <v>375.75</v>
      </c>
      <c r="D28" s="8">
        <f>FARM_DATA[[#This Row],[Irrigation]]</f>
        <v>108.53</v>
      </c>
      <c r="E28" s="8">
        <f>FARM_DATA[[#This Row],[Seeds]]</f>
        <v>48.56</v>
      </c>
      <c r="F28" s="8">
        <f>FARM_DATA[[#This Row],[Fertilizer]]</f>
        <v>77.709999999999994</v>
      </c>
      <c r="G28" s="8">
        <f>FARM_DATA[[#This Row],[Labor]]</f>
        <v>133.85</v>
      </c>
      <c r="H28" s="8">
        <f>FARM_DATA[[#This Row],[Household]]</f>
        <v>169.54</v>
      </c>
      <c r="I28" s="8">
        <f>FARM_DATA[[#This Row],[Medical]]</f>
        <v>17.48</v>
      </c>
      <c r="J28" s="8">
        <f>FARM_DATA[[#This Row],[Misc]]</f>
        <v>39.11</v>
      </c>
      <c r="K28" s="8">
        <f>FARM_DATA[[#This Row],[Total_Expenses]]</f>
        <v>594.78</v>
      </c>
      <c r="L28" s="30">
        <f>FARM_DATA[[#This Row],[Savings]]</f>
        <v>-219.03</v>
      </c>
      <c r="M28" s="5" t="str">
        <f>TEXT(CLEAN_TABLE[[#This Row],[Date]], "mmm")</f>
        <v>Apr</v>
      </c>
      <c r="N28" s="5">
        <f>YEAR(CLEAN_TABLE[[#This Row],[Date]])</f>
        <v>2024</v>
      </c>
      <c r="O28" s="5">
        <f>IF(CLEAN_TABLE[[#This Row],[Farmer_Type]]="Smart",0,1)</f>
        <v>1</v>
      </c>
      <c r="P28" s="7">
        <f>IFERROR(CLEAN_TABLE[[#This Row],[Savings]]/CLEAN_TABLE[[#This Row],[Income]],0)</f>
        <v>-0.58291417165668657</v>
      </c>
      <c r="Q28" s="7">
        <f>IF(CLEAN_TABLE[[#This Row],[Farmer_Type]]="Smart", 1 - (CLEAN_TABLE[[#This Row],[Irrigation]] / 70), 1 - (CLEAN_TABLE[[#This Row],[Irrigation]] / 150))</f>
        <v>0.27646666666666664</v>
      </c>
      <c r="R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970.53</v>
      </c>
    </row>
    <row r="29" spans="1:19">
      <c r="A29" s="6">
        <f>FARM_DATA[[#This Row],[Date]]</f>
        <v>45410</v>
      </c>
      <c r="B29" s="5" t="str">
        <f>FARM_DATA[[#This Row],[Farmer_Type]]</f>
        <v>Traditional</v>
      </c>
      <c r="C29" s="8">
        <f>FARM_DATA[[#This Row],[Income]]</f>
        <v>311.36</v>
      </c>
      <c r="D29" s="8">
        <f>FARM_DATA[[#This Row],[Irrigation]]</f>
        <v>67.63</v>
      </c>
      <c r="E29" s="8">
        <f>FARM_DATA[[#This Row],[Seeds]]</f>
        <v>32.72</v>
      </c>
      <c r="F29" s="8">
        <f>FARM_DATA[[#This Row],[Fertilizer]]</f>
        <v>56.64</v>
      </c>
      <c r="G29" s="8">
        <f>FARM_DATA[[#This Row],[Labor]]</f>
        <v>167.87</v>
      </c>
      <c r="H29" s="8">
        <f>FARM_DATA[[#This Row],[Household]]</f>
        <v>93.98</v>
      </c>
      <c r="I29" s="8">
        <f>FARM_DATA[[#This Row],[Medical]]</f>
        <v>25.49</v>
      </c>
      <c r="J29" s="8">
        <f>FARM_DATA[[#This Row],[Misc]]</f>
        <v>10.65</v>
      </c>
      <c r="K29" s="8">
        <f>FARM_DATA[[#This Row],[Total_Expenses]]</f>
        <v>454.97</v>
      </c>
      <c r="L29" s="30">
        <f>FARM_DATA[[#This Row],[Savings]]</f>
        <v>-143.62</v>
      </c>
      <c r="M29" s="5" t="str">
        <f>TEXT(CLEAN_TABLE[[#This Row],[Date]], "mmm")</f>
        <v>Apr</v>
      </c>
      <c r="N29" s="5">
        <f>YEAR(CLEAN_TABLE[[#This Row],[Date]])</f>
        <v>2024</v>
      </c>
      <c r="O29" s="5">
        <f>IF(CLEAN_TABLE[[#This Row],[Farmer_Type]]="Smart",0,1)</f>
        <v>1</v>
      </c>
      <c r="P29" s="7">
        <f>IFERROR(CLEAN_TABLE[[#This Row],[Savings]]/CLEAN_TABLE[[#This Row],[Income]],0)</f>
        <v>-0.46126670092497429</v>
      </c>
      <c r="Q29" s="7">
        <f>IF(CLEAN_TABLE[[#This Row],[Farmer_Type]]="Smart", 1 - (CLEAN_TABLE[[#This Row],[Irrigation]] / 70), 1 - (CLEAN_TABLE[[#This Row],[Irrigation]] / 150))</f>
        <v>0.54913333333333336</v>
      </c>
      <c r="R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766.34</v>
      </c>
    </row>
    <row r="30" spans="1:19">
      <c r="A30" s="6">
        <f>FARM_DATA[[#This Row],[Date]]</f>
        <v>45411</v>
      </c>
      <c r="B30" s="5" t="str">
        <f>FARM_DATA[[#This Row],[Farmer_Type]]</f>
        <v>Traditional</v>
      </c>
      <c r="C30" s="8">
        <f>FARM_DATA[[#This Row],[Income]]</f>
        <v>326.39999999999998</v>
      </c>
      <c r="D30" s="8">
        <f>FARM_DATA[[#This Row],[Irrigation]]</f>
        <v>80.89</v>
      </c>
      <c r="E30" s="8">
        <f>FARM_DATA[[#This Row],[Seeds]]</f>
        <v>40.96</v>
      </c>
      <c r="F30" s="8">
        <f>FARM_DATA[[#This Row],[Fertilizer]]</f>
        <v>33.450000000000003</v>
      </c>
      <c r="G30" s="8">
        <f>FARM_DATA[[#This Row],[Labor]]</f>
        <v>92.12</v>
      </c>
      <c r="H30" s="8">
        <f>FARM_DATA[[#This Row],[Household]]</f>
        <v>170.39</v>
      </c>
      <c r="I30" s="8">
        <f>FARM_DATA[[#This Row],[Medical]]</f>
        <v>14.16</v>
      </c>
      <c r="J30" s="8">
        <f>FARM_DATA[[#This Row],[Misc]]</f>
        <v>32.6</v>
      </c>
      <c r="K30" s="8">
        <f>FARM_DATA[[#This Row],[Total_Expenses]]</f>
        <v>464.56</v>
      </c>
      <c r="L30" s="30">
        <f>FARM_DATA[[#This Row],[Savings]]</f>
        <v>-138.16</v>
      </c>
      <c r="M30" s="5" t="str">
        <f>TEXT(CLEAN_TABLE[[#This Row],[Date]], "mmm")</f>
        <v>Apr</v>
      </c>
      <c r="N30" s="5">
        <f>YEAR(CLEAN_TABLE[[#This Row],[Date]])</f>
        <v>2024</v>
      </c>
      <c r="O30" s="5">
        <f>IF(CLEAN_TABLE[[#This Row],[Farmer_Type]]="Smart",0,1)</f>
        <v>1</v>
      </c>
      <c r="P30" s="7">
        <f>IFERROR(CLEAN_TABLE[[#This Row],[Savings]]/CLEAN_TABLE[[#This Row],[Income]],0)</f>
        <v>-0.42328431372549019</v>
      </c>
      <c r="Q30" s="7">
        <f>IF(CLEAN_TABLE[[#This Row],[Farmer_Type]]="Smart", 1 - (CLEAN_TABLE[[#This Row],[Irrigation]] / 70), 1 - (CLEAN_TABLE[[#This Row],[Irrigation]] / 150))</f>
        <v>0.46073333333333333</v>
      </c>
      <c r="R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790.96999999999991</v>
      </c>
    </row>
    <row r="31" spans="1:19">
      <c r="A31" s="6">
        <f>FARM_DATA[[#This Row],[Date]]</f>
        <v>45412</v>
      </c>
      <c r="B31" s="5" t="str">
        <f>FARM_DATA[[#This Row],[Farmer_Type]]</f>
        <v>Smart</v>
      </c>
      <c r="C31" s="8">
        <f>FARM_DATA[[#This Row],[Income]]</f>
        <v>959.11</v>
      </c>
      <c r="D31" s="8">
        <f>FARM_DATA[[#This Row],[Irrigation]]</f>
        <v>11.74</v>
      </c>
      <c r="E31" s="8">
        <f>FARM_DATA[[#This Row],[Seeds]]</f>
        <v>102.88</v>
      </c>
      <c r="F31" s="8">
        <f>FARM_DATA[[#This Row],[Fertilizer]]</f>
        <v>99.02</v>
      </c>
      <c r="G31" s="8">
        <f>FARM_DATA[[#This Row],[Labor]]</f>
        <v>54.5</v>
      </c>
      <c r="H31" s="8">
        <f>FARM_DATA[[#This Row],[Household]]</f>
        <v>176.53</v>
      </c>
      <c r="I31" s="8">
        <f>FARM_DATA[[#This Row],[Medical]]</f>
        <v>16.04</v>
      </c>
      <c r="J31" s="8">
        <f>FARM_DATA[[#This Row],[Misc]]</f>
        <v>52.79</v>
      </c>
      <c r="K31" s="8">
        <f>FARM_DATA[[#This Row],[Total_Expenses]]</f>
        <v>513.49</v>
      </c>
      <c r="L31" s="30">
        <f>FARM_DATA[[#This Row],[Savings]]</f>
        <v>445.62</v>
      </c>
      <c r="M31" s="5" t="str">
        <f>TEXT(CLEAN_TABLE[[#This Row],[Date]], "mmm")</f>
        <v>Apr</v>
      </c>
      <c r="N31" s="5">
        <f>YEAR(CLEAN_TABLE[[#This Row],[Date]])</f>
        <v>2024</v>
      </c>
      <c r="O31" s="5">
        <f>IF(CLEAN_TABLE[[#This Row],[Farmer_Type]]="Smart",0,1)</f>
        <v>0</v>
      </c>
      <c r="P31" s="7">
        <f>IFERROR(CLEAN_TABLE[[#This Row],[Savings]]/CLEAN_TABLE[[#This Row],[Income]],0)</f>
        <v>0.4646182398265058</v>
      </c>
      <c r="Q31" s="7">
        <f>IF(CLEAN_TABLE[[#This Row],[Farmer_Type]]="Smart", 1 - (CLEAN_TABLE[[#This Row],[Irrigation]] / 70), 1 - (CLEAN_TABLE[[#This Row],[Irrigation]] / 150))</f>
        <v>0.8322857142857143</v>
      </c>
      <c r="R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1472.61</v>
      </c>
    </row>
    <row r="32" spans="1:19">
      <c r="A32" s="6">
        <f>FARM_DATA[[#This Row],[Date]]</f>
        <v>45413</v>
      </c>
      <c r="B32" s="5" t="str">
        <f>FARM_DATA[[#This Row],[Farmer_Type]]</f>
        <v>Traditional</v>
      </c>
      <c r="C32" s="8">
        <f>FARM_DATA[[#This Row],[Income]]</f>
        <v>310.37</v>
      </c>
      <c r="D32" s="8">
        <f>FARM_DATA[[#This Row],[Irrigation]]</f>
        <v>68.849999999999994</v>
      </c>
      <c r="E32" s="8">
        <f>FARM_DATA[[#This Row],[Seeds]]</f>
        <v>47.57</v>
      </c>
      <c r="F32" s="8">
        <f>FARM_DATA[[#This Row],[Fertilizer]]</f>
        <v>72.319999999999993</v>
      </c>
      <c r="G32" s="8">
        <f>FARM_DATA[[#This Row],[Labor]]</f>
        <v>79.989999999999995</v>
      </c>
      <c r="H32" s="8">
        <f>FARM_DATA[[#This Row],[Household]]</f>
        <v>139.96</v>
      </c>
      <c r="I32" s="8">
        <f>FARM_DATA[[#This Row],[Medical]]</f>
        <v>16.2</v>
      </c>
      <c r="J32" s="8">
        <f>FARM_DATA[[#This Row],[Misc]]</f>
        <v>22.16</v>
      </c>
      <c r="K32" s="8">
        <f>FARM_DATA[[#This Row],[Total_Expenses]]</f>
        <v>447.06</v>
      </c>
      <c r="L32" s="30">
        <f>FARM_DATA[[#This Row],[Savings]]</f>
        <v>-136.69</v>
      </c>
      <c r="M32" s="5" t="str">
        <f>TEXT(CLEAN_TABLE[[#This Row],[Date]], "mmm")</f>
        <v>May</v>
      </c>
      <c r="N32" s="5">
        <f>YEAR(CLEAN_TABLE[[#This Row],[Date]])</f>
        <v>2024</v>
      </c>
      <c r="O32" s="5">
        <f>IF(CLEAN_TABLE[[#This Row],[Farmer_Type]]="Smart",0,1)</f>
        <v>1</v>
      </c>
      <c r="P32" s="7">
        <f>IFERROR(CLEAN_TABLE[[#This Row],[Savings]]/CLEAN_TABLE[[#This Row],[Income]],0)</f>
        <v>-0.4404098334246222</v>
      </c>
      <c r="Q32" s="7">
        <f>IF(CLEAN_TABLE[[#This Row],[Farmer_Type]]="Smart", 1 - (CLEAN_TABLE[[#This Row],[Irrigation]] / 70), 1 - (CLEAN_TABLE[[#This Row],[Irrigation]] / 150))</f>
        <v>0.54100000000000004</v>
      </c>
      <c r="R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757.42000000000007</v>
      </c>
    </row>
    <row r="33" spans="1:19">
      <c r="A33" s="6">
        <f>FARM_DATA[[#This Row],[Date]]</f>
        <v>45414</v>
      </c>
      <c r="B33" s="5" t="str">
        <f>FARM_DATA[[#This Row],[Farmer_Type]]</f>
        <v>Traditional</v>
      </c>
      <c r="C33" s="8">
        <f>FARM_DATA[[#This Row],[Income]]</f>
        <v>438.27</v>
      </c>
      <c r="D33" s="8">
        <f>FARM_DATA[[#This Row],[Irrigation]]</f>
        <v>74.05</v>
      </c>
      <c r="E33" s="8">
        <f>FARM_DATA[[#This Row],[Seeds]]</f>
        <v>21.09</v>
      </c>
      <c r="F33" s="8">
        <f>FARM_DATA[[#This Row],[Fertilizer]]</f>
        <v>73.36</v>
      </c>
      <c r="G33" s="8">
        <f>FARM_DATA[[#This Row],[Labor]]</f>
        <v>163.05000000000001</v>
      </c>
      <c r="H33" s="8">
        <f>FARM_DATA[[#This Row],[Household]]</f>
        <v>180.97</v>
      </c>
      <c r="I33" s="8">
        <f>FARM_DATA[[#This Row],[Medical]]</f>
        <v>7.85</v>
      </c>
      <c r="J33" s="8">
        <f>FARM_DATA[[#This Row],[Misc]]</f>
        <v>24.19</v>
      </c>
      <c r="K33" s="8">
        <f>FARM_DATA[[#This Row],[Total_Expenses]]</f>
        <v>544.55999999999995</v>
      </c>
      <c r="L33" s="30">
        <f>FARM_DATA[[#This Row],[Savings]]</f>
        <v>-106.28</v>
      </c>
      <c r="M33" s="5" t="str">
        <f>TEXT(CLEAN_TABLE[[#This Row],[Date]], "mmm")</f>
        <v>May</v>
      </c>
      <c r="N33" s="5">
        <f>YEAR(CLEAN_TABLE[[#This Row],[Date]])</f>
        <v>2024</v>
      </c>
      <c r="O33" s="5">
        <f>IF(CLEAN_TABLE[[#This Row],[Farmer_Type]]="Smart",0,1)</f>
        <v>1</v>
      </c>
      <c r="P33" s="7">
        <f>IFERROR(CLEAN_TABLE[[#This Row],[Savings]]/CLEAN_TABLE[[#This Row],[Income]],0)</f>
        <v>-0.24249891619321423</v>
      </c>
      <c r="Q33" s="7">
        <f>IF(CLEAN_TABLE[[#This Row],[Farmer_Type]]="Smart", 1 - (CLEAN_TABLE[[#This Row],[Irrigation]] / 70), 1 - (CLEAN_TABLE[[#This Row],[Irrigation]] / 150))</f>
        <v>0.5063333333333333</v>
      </c>
      <c r="R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982.83</v>
      </c>
    </row>
    <row r="34" spans="1:19">
      <c r="A34" s="6">
        <f>FARM_DATA[[#This Row],[Date]]</f>
        <v>45415</v>
      </c>
      <c r="B34" s="5" t="str">
        <f>FARM_DATA[[#This Row],[Farmer_Type]]</f>
        <v>Traditional</v>
      </c>
      <c r="C34" s="8">
        <f>FARM_DATA[[#This Row],[Income]]</f>
        <v>413.35</v>
      </c>
      <c r="D34" s="8">
        <f>FARM_DATA[[#This Row],[Irrigation]]</f>
        <v>62.92</v>
      </c>
      <c r="E34" s="8">
        <f>FARM_DATA[[#This Row],[Seeds]]</f>
        <v>46.66</v>
      </c>
      <c r="F34" s="8">
        <f>FARM_DATA[[#This Row],[Fertilizer]]</f>
        <v>70.489999999999995</v>
      </c>
      <c r="G34" s="8">
        <f>FARM_DATA[[#This Row],[Labor]]</f>
        <v>86.83</v>
      </c>
      <c r="H34" s="8">
        <f>FARM_DATA[[#This Row],[Household]]</f>
        <v>148.21</v>
      </c>
      <c r="I34" s="8">
        <f>FARM_DATA[[#This Row],[Medical]]</f>
        <v>-5.93</v>
      </c>
      <c r="J34" s="8">
        <f>FARM_DATA[[#This Row],[Misc]]</f>
        <v>17.71</v>
      </c>
      <c r="K34" s="8">
        <f>FARM_DATA[[#This Row],[Total_Expenses]]</f>
        <v>426.89</v>
      </c>
      <c r="L34" s="30">
        <f>FARM_DATA[[#This Row],[Savings]]</f>
        <v>-13.55</v>
      </c>
      <c r="M34" s="5" t="str">
        <f>TEXT(CLEAN_TABLE[[#This Row],[Date]], "mmm")</f>
        <v>May</v>
      </c>
      <c r="N34" s="5">
        <f>YEAR(CLEAN_TABLE[[#This Row],[Date]])</f>
        <v>2024</v>
      </c>
      <c r="O34" s="5">
        <f>IF(CLEAN_TABLE[[#This Row],[Farmer_Type]]="Smart",0,1)</f>
        <v>1</v>
      </c>
      <c r="P34" s="7">
        <f>IFERROR(CLEAN_TABLE[[#This Row],[Savings]]/CLEAN_TABLE[[#This Row],[Income]],0)</f>
        <v>-3.2780936252570461E-2</v>
      </c>
      <c r="Q34" s="7">
        <f>IF(CLEAN_TABLE[[#This Row],[Farmer_Type]]="Smart", 1 - (CLEAN_TABLE[[#This Row],[Irrigation]] / 70), 1 - (CLEAN_TABLE[[#This Row],[Irrigation]] / 150))</f>
        <v>0.58053333333333335</v>
      </c>
      <c r="R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840.24000000000024</v>
      </c>
    </row>
    <row r="35" spans="1:19">
      <c r="A35" s="6">
        <f>FARM_DATA[[#This Row],[Date]]</f>
        <v>45416</v>
      </c>
      <c r="B35" s="5" t="str">
        <f>FARM_DATA[[#This Row],[Farmer_Type]]</f>
        <v>Traditional</v>
      </c>
      <c r="C35" s="8">
        <f>FARM_DATA[[#This Row],[Income]]</f>
        <v>337.37</v>
      </c>
      <c r="D35" s="8">
        <f>FARM_DATA[[#This Row],[Irrigation]]</f>
        <v>57.52</v>
      </c>
      <c r="E35" s="8">
        <f>FARM_DATA[[#This Row],[Seeds]]</f>
        <v>64.489999999999995</v>
      </c>
      <c r="F35" s="8">
        <f>FARM_DATA[[#This Row],[Fertilizer]]</f>
        <v>26.4</v>
      </c>
      <c r="G35" s="8">
        <f>FARM_DATA[[#This Row],[Labor]]</f>
        <v>99</v>
      </c>
      <c r="H35" s="8">
        <f>FARM_DATA[[#This Row],[Household]]</f>
        <v>153.91999999999999</v>
      </c>
      <c r="I35" s="8">
        <f>FARM_DATA[[#This Row],[Medical]]</f>
        <v>31.53</v>
      </c>
      <c r="J35" s="8">
        <f>FARM_DATA[[#This Row],[Misc]]</f>
        <v>12.77</v>
      </c>
      <c r="K35" s="8">
        <f>FARM_DATA[[#This Row],[Total_Expenses]]</f>
        <v>445.63</v>
      </c>
      <c r="L35" s="30">
        <f>FARM_DATA[[#This Row],[Savings]]</f>
        <v>-108.25</v>
      </c>
      <c r="M35" s="5" t="str">
        <f>TEXT(CLEAN_TABLE[[#This Row],[Date]], "mmm")</f>
        <v>May</v>
      </c>
      <c r="N35" s="5">
        <f>YEAR(CLEAN_TABLE[[#This Row],[Date]])</f>
        <v>2024</v>
      </c>
      <c r="O35" s="5">
        <f>IF(CLEAN_TABLE[[#This Row],[Farmer_Type]]="Smart",0,1)</f>
        <v>1</v>
      </c>
      <c r="P35" s="7">
        <f>IFERROR(CLEAN_TABLE[[#This Row],[Savings]]/CLEAN_TABLE[[#This Row],[Income]],0)</f>
        <v>-0.32086433292823902</v>
      </c>
      <c r="Q35" s="7">
        <f>IF(CLEAN_TABLE[[#This Row],[Farmer_Type]]="Smart", 1 - (CLEAN_TABLE[[#This Row],[Irrigation]] / 70), 1 - (CLEAN_TABLE[[#This Row],[Irrigation]] / 150))</f>
        <v>0.61653333333333338</v>
      </c>
      <c r="R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782.99999999999989</v>
      </c>
    </row>
    <row r="36" spans="1:19">
      <c r="A36" s="6">
        <f>FARM_DATA[[#This Row],[Date]]</f>
        <v>45417</v>
      </c>
      <c r="B36" s="5" t="str">
        <f>FARM_DATA[[#This Row],[Farmer_Type]]</f>
        <v>Traditional</v>
      </c>
      <c r="C36" s="8">
        <f>FARM_DATA[[#This Row],[Income]]</f>
        <v>408.16</v>
      </c>
      <c r="D36" s="8">
        <f>FARM_DATA[[#This Row],[Irrigation]]</f>
        <v>70.099999999999994</v>
      </c>
      <c r="E36" s="8">
        <f>FARM_DATA[[#This Row],[Seeds]]</f>
        <v>25.28</v>
      </c>
      <c r="F36" s="8">
        <f>FARM_DATA[[#This Row],[Fertilizer]]</f>
        <v>64.239999999999995</v>
      </c>
      <c r="G36" s="8">
        <f>FARM_DATA[[#This Row],[Labor]]</f>
        <v>114.98</v>
      </c>
      <c r="H36" s="8">
        <f>FARM_DATA[[#This Row],[Household]]</f>
        <v>131.99</v>
      </c>
      <c r="I36" s="8">
        <f>FARM_DATA[[#This Row],[Medical]]</f>
        <v>20.56</v>
      </c>
      <c r="J36" s="8">
        <f>FARM_DATA[[#This Row],[Misc]]</f>
        <v>25.38</v>
      </c>
      <c r="K36" s="8">
        <f>FARM_DATA[[#This Row],[Total_Expenses]]</f>
        <v>452.53</v>
      </c>
      <c r="L36" s="30">
        <f>FARM_DATA[[#This Row],[Savings]]</f>
        <v>-44.37</v>
      </c>
      <c r="M36" s="5" t="str">
        <f>TEXT(CLEAN_TABLE[[#This Row],[Date]], "mmm")</f>
        <v>May</v>
      </c>
      <c r="N36" s="5">
        <f>YEAR(CLEAN_TABLE[[#This Row],[Date]])</f>
        <v>2024</v>
      </c>
      <c r="O36" s="5">
        <f>IF(CLEAN_TABLE[[#This Row],[Farmer_Type]]="Smart",0,1)</f>
        <v>1</v>
      </c>
      <c r="P36" s="7">
        <f>IFERROR(CLEAN_TABLE[[#This Row],[Savings]]/CLEAN_TABLE[[#This Row],[Income]],0)</f>
        <v>-0.10870736965895726</v>
      </c>
      <c r="Q36" s="7">
        <f>IF(CLEAN_TABLE[[#This Row],[Farmer_Type]]="Smart", 1 - (CLEAN_TABLE[[#This Row],[Irrigation]] / 70), 1 - (CLEAN_TABLE[[#This Row],[Irrigation]] / 150))</f>
        <v>0.53266666666666662</v>
      </c>
      <c r="R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860.68999999999994</v>
      </c>
    </row>
    <row r="37" spans="1:19">
      <c r="A37" s="6">
        <f>FARM_DATA[[#This Row],[Date]]</f>
        <v>45418</v>
      </c>
      <c r="B37" s="5" t="str">
        <f>FARM_DATA[[#This Row],[Farmer_Type]]</f>
        <v>Traditional</v>
      </c>
      <c r="C37" s="8">
        <f>FARM_DATA[[#This Row],[Income]]</f>
        <v>355.68</v>
      </c>
      <c r="D37" s="8">
        <f>FARM_DATA[[#This Row],[Irrigation]]</f>
        <v>76.62</v>
      </c>
      <c r="E37" s="8">
        <f>FARM_DATA[[#This Row],[Seeds]]</f>
        <v>63.79</v>
      </c>
      <c r="F37" s="8">
        <f>FARM_DATA[[#This Row],[Fertilizer]]</f>
        <v>30.24</v>
      </c>
      <c r="G37" s="8">
        <f>FARM_DATA[[#This Row],[Labor]]</f>
        <v>163.33000000000001</v>
      </c>
      <c r="H37" s="8">
        <f>FARM_DATA[[#This Row],[Household]]</f>
        <v>91.44</v>
      </c>
      <c r="I37" s="8">
        <f>FARM_DATA[[#This Row],[Medical]]</f>
        <v>18.79</v>
      </c>
      <c r="J37" s="8">
        <f>FARM_DATA[[#This Row],[Misc]]</f>
        <v>37.06</v>
      </c>
      <c r="K37" s="8">
        <f>FARM_DATA[[#This Row],[Total_Expenses]]</f>
        <v>481.26</v>
      </c>
      <c r="L37" s="30">
        <f>FARM_DATA[[#This Row],[Savings]]</f>
        <v>-125.59</v>
      </c>
      <c r="M37" s="5" t="str">
        <f>TEXT(CLEAN_TABLE[[#This Row],[Date]], "mmm")</f>
        <v>May</v>
      </c>
      <c r="N37" s="5">
        <f>YEAR(CLEAN_TABLE[[#This Row],[Date]])</f>
        <v>2024</v>
      </c>
      <c r="O37" s="5">
        <f>IF(CLEAN_TABLE[[#This Row],[Farmer_Type]]="Smart",0,1)</f>
        <v>1</v>
      </c>
      <c r="P37" s="7">
        <f>IFERROR(CLEAN_TABLE[[#This Row],[Savings]]/CLEAN_TABLE[[#This Row],[Income]],0)</f>
        <v>-0.35309829059829062</v>
      </c>
      <c r="Q37" s="7">
        <f>IF(CLEAN_TABLE[[#This Row],[Farmer_Type]]="Smart", 1 - (CLEAN_TABLE[[#This Row],[Irrigation]] / 70), 1 - (CLEAN_TABLE[[#This Row],[Irrigation]] / 150))</f>
        <v>0.48919999999999997</v>
      </c>
      <c r="R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836.95</v>
      </c>
    </row>
    <row r="38" spans="1:19">
      <c r="A38" s="6">
        <f>FARM_DATA[[#This Row],[Date]]</f>
        <v>45419</v>
      </c>
      <c r="B38" s="5" t="str">
        <f>FARM_DATA[[#This Row],[Farmer_Type]]</f>
        <v>Traditional</v>
      </c>
      <c r="C38" s="8">
        <f>FARM_DATA[[#This Row],[Income]]</f>
        <v>364.05</v>
      </c>
      <c r="D38" s="8">
        <f>FARM_DATA[[#This Row],[Irrigation]]</f>
        <v>63.77</v>
      </c>
      <c r="E38" s="8">
        <f>FARM_DATA[[#This Row],[Seeds]]</f>
        <v>36.880000000000003</v>
      </c>
      <c r="F38" s="8">
        <f>FARM_DATA[[#This Row],[Fertilizer]]</f>
        <v>45.14</v>
      </c>
      <c r="G38" s="8">
        <f>FARM_DATA[[#This Row],[Labor]]</f>
        <v>95.27</v>
      </c>
      <c r="H38" s="8">
        <f>FARM_DATA[[#This Row],[Household]]</f>
        <v>175.49</v>
      </c>
      <c r="I38" s="8">
        <f>FARM_DATA[[#This Row],[Medical]]</f>
        <v>22.86</v>
      </c>
      <c r="J38" s="8">
        <f>FARM_DATA[[#This Row],[Misc]]</f>
        <v>21.69</v>
      </c>
      <c r="K38" s="8">
        <f>FARM_DATA[[#This Row],[Total_Expenses]]</f>
        <v>461.09</v>
      </c>
      <c r="L38" s="30">
        <f>FARM_DATA[[#This Row],[Savings]]</f>
        <v>-97.04</v>
      </c>
      <c r="M38" s="5" t="str">
        <f>TEXT(CLEAN_TABLE[[#This Row],[Date]], "mmm")</f>
        <v>May</v>
      </c>
      <c r="N38" s="5">
        <f>YEAR(CLEAN_TABLE[[#This Row],[Date]])</f>
        <v>2024</v>
      </c>
      <c r="O38" s="5">
        <f>IF(CLEAN_TABLE[[#This Row],[Farmer_Type]]="Smart",0,1)</f>
        <v>1</v>
      </c>
      <c r="P38" s="7">
        <f>IFERROR(CLEAN_TABLE[[#This Row],[Savings]]/CLEAN_TABLE[[#This Row],[Income]],0)</f>
        <v>-0.26655679164949869</v>
      </c>
      <c r="Q38" s="7">
        <f>IF(CLEAN_TABLE[[#This Row],[Farmer_Type]]="Smart", 1 - (CLEAN_TABLE[[#This Row],[Irrigation]] / 70), 1 - (CLEAN_TABLE[[#This Row],[Irrigation]] / 150))</f>
        <v>0.57486666666666664</v>
      </c>
      <c r="R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825.15000000000009</v>
      </c>
    </row>
    <row r="39" spans="1:19">
      <c r="A39" s="6">
        <f>FARM_DATA[[#This Row],[Date]]</f>
        <v>45420</v>
      </c>
      <c r="B39" s="5" t="str">
        <f>FARM_DATA[[#This Row],[Farmer_Type]]</f>
        <v>Traditional</v>
      </c>
      <c r="C39" s="8">
        <f>FARM_DATA[[#This Row],[Income]]</f>
        <v>394.98</v>
      </c>
      <c r="D39" s="8">
        <f>FARM_DATA[[#This Row],[Irrigation]]</f>
        <v>73.069999999999993</v>
      </c>
      <c r="E39" s="8">
        <f>FARM_DATA[[#This Row],[Seeds]]</f>
        <v>52.19</v>
      </c>
      <c r="F39" s="8">
        <f>FARM_DATA[[#This Row],[Fertilizer]]</f>
        <v>67.59</v>
      </c>
      <c r="G39" s="8">
        <f>FARM_DATA[[#This Row],[Labor]]</f>
        <v>89.28</v>
      </c>
      <c r="H39" s="8">
        <f>FARM_DATA[[#This Row],[Household]]</f>
        <v>133.19</v>
      </c>
      <c r="I39" s="8">
        <f>FARM_DATA[[#This Row],[Medical]]</f>
        <v>25.98</v>
      </c>
      <c r="J39" s="8">
        <f>FARM_DATA[[#This Row],[Misc]]</f>
        <v>37.32</v>
      </c>
      <c r="K39" s="8">
        <f>FARM_DATA[[#This Row],[Total_Expenses]]</f>
        <v>478.63</v>
      </c>
      <c r="L39" s="30">
        <f>FARM_DATA[[#This Row],[Savings]]</f>
        <v>-83.65</v>
      </c>
      <c r="M39" s="5" t="str">
        <f>TEXT(CLEAN_TABLE[[#This Row],[Date]], "mmm")</f>
        <v>May</v>
      </c>
      <c r="N39" s="5">
        <f>YEAR(CLEAN_TABLE[[#This Row],[Date]])</f>
        <v>2024</v>
      </c>
      <c r="O39" s="5">
        <f>IF(CLEAN_TABLE[[#This Row],[Farmer_Type]]="Smart",0,1)</f>
        <v>1</v>
      </c>
      <c r="P39" s="7">
        <f>IFERROR(CLEAN_TABLE[[#This Row],[Savings]]/CLEAN_TABLE[[#This Row],[Income]],0)</f>
        <v>-0.21178287508228266</v>
      </c>
      <c r="Q39" s="7">
        <f>IF(CLEAN_TABLE[[#This Row],[Farmer_Type]]="Smart", 1 - (CLEAN_TABLE[[#This Row],[Irrigation]] / 70), 1 - (CLEAN_TABLE[[#This Row],[Irrigation]] / 150))</f>
        <v>0.51286666666666669</v>
      </c>
      <c r="R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873.6</v>
      </c>
    </row>
    <row r="40" spans="1:19">
      <c r="A40" s="6">
        <f>FARM_DATA[[#This Row],[Date]]</f>
        <v>45421</v>
      </c>
      <c r="B40" s="5" t="str">
        <f>FARM_DATA[[#This Row],[Farmer_Type]]</f>
        <v>Smart</v>
      </c>
      <c r="C40" s="8">
        <f>FARM_DATA[[#This Row],[Income]]</f>
        <v>945.82</v>
      </c>
      <c r="D40" s="8">
        <f>FARM_DATA[[#This Row],[Irrigation]]</f>
        <v>15.59</v>
      </c>
      <c r="E40" s="8">
        <f>FARM_DATA[[#This Row],[Seeds]]</f>
        <v>85.55</v>
      </c>
      <c r="F40" s="8">
        <f>FARM_DATA[[#This Row],[Fertilizer]]</f>
        <v>62.25</v>
      </c>
      <c r="G40" s="8">
        <f>FARM_DATA[[#This Row],[Labor]]</f>
        <v>105.94</v>
      </c>
      <c r="H40" s="8">
        <f>FARM_DATA[[#This Row],[Household]]</f>
        <v>162.91999999999999</v>
      </c>
      <c r="I40" s="8">
        <f>FARM_DATA[[#This Row],[Medical]]</f>
        <v>20.04</v>
      </c>
      <c r="J40" s="8">
        <f>FARM_DATA[[#This Row],[Misc]]</f>
        <v>56.48</v>
      </c>
      <c r="K40" s="8">
        <f>FARM_DATA[[#This Row],[Total_Expenses]]</f>
        <v>508.78</v>
      </c>
      <c r="L40" s="30">
        <f>FARM_DATA[[#This Row],[Savings]]</f>
        <v>437.04</v>
      </c>
      <c r="M40" s="5" t="str">
        <f>TEXT(CLEAN_TABLE[[#This Row],[Date]], "mmm")</f>
        <v>May</v>
      </c>
      <c r="N40" s="5">
        <f>YEAR(CLEAN_TABLE[[#This Row],[Date]])</f>
        <v>2024</v>
      </c>
      <c r="O40" s="5">
        <f>IF(CLEAN_TABLE[[#This Row],[Farmer_Type]]="Smart",0,1)</f>
        <v>0</v>
      </c>
      <c r="P40" s="7">
        <f>IFERROR(CLEAN_TABLE[[#This Row],[Savings]]/CLEAN_TABLE[[#This Row],[Income]],0)</f>
        <v>0.4620752363028906</v>
      </c>
      <c r="Q40" s="7">
        <f>IF(CLEAN_TABLE[[#This Row],[Farmer_Type]]="Smart", 1 - (CLEAN_TABLE[[#This Row],[Irrigation]] / 70), 1 - (CLEAN_TABLE[[#This Row],[Irrigation]] / 150))</f>
        <v>0.77728571428571425</v>
      </c>
      <c r="R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1454.5900000000001</v>
      </c>
    </row>
    <row r="41" spans="1:19">
      <c r="A41" s="6">
        <f>FARM_DATA[[#This Row],[Date]]</f>
        <v>45422</v>
      </c>
      <c r="B41" s="5" t="str">
        <f>FARM_DATA[[#This Row],[Farmer_Type]]</f>
        <v>Smart</v>
      </c>
      <c r="C41" s="8">
        <f>FARM_DATA[[#This Row],[Income]]</f>
        <v>1115.08</v>
      </c>
      <c r="D41" s="8">
        <f>FARM_DATA[[#This Row],[Irrigation]]</f>
        <v>19.07</v>
      </c>
      <c r="E41" s="8">
        <f>FARM_DATA[[#This Row],[Seeds]]</f>
        <v>86.11</v>
      </c>
      <c r="F41" s="8">
        <f>FARM_DATA[[#This Row],[Fertilizer]]</f>
        <v>80.63</v>
      </c>
      <c r="G41" s="8">
        <f>FARM_DATA[[#This Row],[Labor]]</f>
        <v>108.64</v>
      </c>
      <c r="H41" s="8">
        <f>FARM_DATA[[#This Row],[Household]]</f>
        <v>159.13999999999999</v>
      </c>
      <c r="I41" s="8">
        <f>FARM_DATA[[#This Row],[Medical]]</f>
        <v>24.92</v>
      </c>
      <c r="J41" s="8">
        <f>FARM_DATA[[#This Row],[Misc]]</f>
        <v>38.049999999999997</v>
      </c>
      <c r="K41" s="8">
        <f>FARM_DATA[[#This Row],[Total_Expenses]]</f>
        <v>516.54999999999995</v>
      </c>
      <c r="L41" s="30">
        <f>FARM_DATA[[#This Row],[Savings]]</f>
        <v>598.53</v>
      </c>
      <c r="M41" s="5" t="str">
        <f>TEXT(CLEAN_TABLE[[#This Row],[Date]], "mmm")</f>
        <v>May</v>
      </c>
      <c r="N41" s="5">
        <f>YEAR(CLEAN_TABLE[[#This Row],[Date]])</f>
        <v>2024</v>
      </c>
      <c r="O41" s="5">
        <f>IF(CLEAN_TABLE[[#This Row],[Farmer_Type]]="Smart",0,1)</f>
        <v>0</v>
      </c>
      <c r="P41" s="7">
        <f>IFERROR(CLEAN_TABLE[[#This Row],[Savings]]/CLEAN_TABLE[[#This Row],[Income]],0)</f>
        <v>0.53675969437170423</v>
      </c>
      <c r="Q41" s="7">
        <f>IF(CLEAN_TABLE[[#This Row],[Farmer_Type]]="Smart", 1 - (CLEAN_TABLE[[#This Row],[Irrigation]] / 70), 1 - (CLEAN_TABLE[[#This Row],[Irrigation]] / 150))</f>
        <v>0.72757142857142854</v>
      </c>
      <c r="R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1631.64</v>
      </c>
    </row>
    <row r="42" spans="1:19">
      <c r="A42" s="6">
        <f>FARM_DATA[[#This Row],[Date]]</f>
        <v>45423</v>
      </c>
      <c r="B42" s="5" t="str">
        <f>FARM_DATA[[#This Row],[Farmer_Type]]</f>
        <v>Traditional</v>
      </c>
      <c r="C42" s="8">
        <f>FARM_DATA[[#This Row],[Income]]</f>
        <v>354.85</v>
      </c>
      <c r="D42" s="8">
        <f>FARM_DATA[[#This Row],[Irrigation]]</f>
        <v>75.95</v>
      </c>
      <c r="E42" s="8">
        <f>FARM_DATA[[#This Row],[Seeds]]</f>
        <v>27.73</v>
      </c>
      <c r="F42" s="8">
        <f>FARM_DATA[[#This Row],[Fertilizer]]</f>
        <v>96.85</v>
      </c>
      <c r="G42" s="8">
        <f>FARM_DATA[[#This Row],[Labor]]</f>
        <v>84.85</v>
      </c>
      <c r="H42" s="8">
        <f>FARM_DATA[[#This Row],[Household]]</f>
        <v>113.57</v>
      </c>
      <c r="I42" s="8">
        <f>FARM_DATA[[#This Row],[Medical]]</f>
        <v>29.26</v>
      </c>
      <c r="J42" s="8">
        <f>FARM_DATA[[#This Row],[Misc]]</f>
        <v>39.5</v>
      </c>
      <c r="K42" s="8">
        <f>FARM_DATA[[#This Row],[Total_Expenses]]</f>
        <v>467.71</v>
      </c>
      <c r="L42" s="30">
        <f>FARM_DATA[[#This Row],[Savings]]</f>
        <v>-112.86</v>
      </c>
      <c r="M42" s="5" t="str">
        <f>TEXT(CLEAN_TABLE[[#This Row],[Date]], "mmm")</f>
        <v>May</v>
      </c>
      <c r="N42" s="5">
        <f>YEAR(CLEAN_TABLE[[#This Row],[Date]])</f>
        <v>2024</v>
      </c>
      <c r="O42" s="5">
        <f>IF(CLEAN_TABLE[[#This Row],[Farmer_Type]]="Smart",0,1)</f>
        <v>1</v>
      </c>
      <c r="P42" s="7">
        <f>IFERROR(CLEAN_TABLE[[#This Row],[Savings]]/CLEAN_TABLE[[#This Row],[Income]],0)</f>
        <v>-0.31804988023108355</v>
      </c>
      <c r="Q42" s="7">
        <f>IF(CLEAN_TABLE[[#This Row],[Farmer_Type]]="Smart", 1 - (CLEAN_TABLE[[#This Row],[Irrigation]] / 70), 1 - (CLEAN_TABLE[[#This Row],[Irrigation]] / 150))</f>
        <v>0.4936666666666667</v>
      </c>
      <c r="R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822.56</v>
      </c>
    </row>
    <row r="43" spans="1:19">
      <c r="A43" s="6">
        <f>FARM_DATA[[#This Row],[Date]]</f>
        <v>45424</v>
      </c>
      <c r="B43" s="5" t="str">
        <f>FARM_DATA[[#This Row],[Farmer_Type]]</f>
        <v>Smart</v>
      </c>
      <c r="C43" s="8">
        <f>FARM_DATA[[#This Row],[Income]]</f>
        <v>1074.82</v>
      </c>
      <c r="D43" s="8">
        <f>FARM_DATA[[#This Row],[Irrigation]]</f>
        <v>18.14</v>
      </c>
      <c r="E43" s="8">
        <f>FARM_DATA[[#This Row],[Seeds]]</f>
        <v>59.76</v>
      </c>
      <c r="F43" s="8">
        <f>FARM_DATA[[#This Row],[Fertilizer]]</f>
        <v>53.08</v>
      </c>
      <c r="G43" s="8">
        <f>FARM_DATA[[#This Row],[Labor]]</f>
        <v>96.52</v>
      </c>
      <c r="H43" s="8">
        <f>FARM_DATA[[#This Row],[Household]]</f>
        <v>146.30000000000001</v>
      </c>
      <c r="I43" s="8">
        <f>FARM_DATA[[#This Row],[Medical]]</f>
        <v>30.78</v>
      </c>
      <c r="J43" s="8">
        <f>FARM_DATA[[#This Row],[Misc]]</f>
        <v>37.79</v>
      </c>
      <c r="K43" s="8">
        <f>FARM_DATA[[#This Row],[Total_Expenses]]</f>
        <v>442.36</v>
      </c>
      <c r="L43" s="30">
        <f>FARM_DATA[[#This Row],[Savings]]</f>
        <v>632.46</v>
      </c>
      <c r="M43" s="5" t="str">
        <f>TEXT(CLEAN_TABLE[[#This Row],[Date]], "mmm")</f>
        <v>May</v>
      </c>
      <c r="N43" s="5">
        <f>YEAR(CLEAN_TABLE[[#This Row],[Date]])</f>
        <v>2024</v>
      </c>
      <c r="O43" s="5">
        <f>IF(CLEAN_TABLE[[#This Row],[Farmer_Type]]="Smart",0,1)</f>
        <v>0</v>
      </c>
      <c r="P43" s="7">
        <f>IFERROR(CLEAN_TABLE[[#This Row],[Savings]]/CLEAN_TABLE[[#This Row],[Income]],0)</f>
        <v>0.58843341210621325</v>
      </c>
      <c r="Q43" s="7">
        <f>IF(CLEAN_TABLE[[#This Row],[Farmer_Type]]="Smart", 1 - (CLEAN_TABLE[[#This Row],[Irrigation]] / 70), 1 - (CLEAN_TABLE[[#This Row],[Irrigation]] / 150))</f>
        <v>0.74085714285714288</v>
      </c>
      <c r="R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1517.1899999999998</v>
      </c>
    </row>
    <row r="44" spans="1:19">
      <c r="A44" s="6">
        <f>FARM_DATA[[#This Row],[Date]]</f>
        <v>45425</v>
      </c>
      <c r="B44" s="5" t="str">
        <f>FARM_DATA[[#This Row],[Farmer_Type]]</f>
        <v>Traditional</v>
      </c>
      <c r="C44" s="8">
        <f>FARM_DATA[[#This Row],[Income]]</f>
        <v>308.73</v>
      </c>
      <c r="D44" s="8">
        <f>FARM_DATA[[#This Row],[Irrigation]]</f>
        <v>66.790000000000006</v>
      </c>
      <c r="E44" s="8">
        <f>FARM_DATA[[#This Row],[Seeds]]</f>
        <v>46.19</v>
      </c>
      <c r="F44" s="8">
        <f>FARM_DATA[[#This Row],[Fertilizer]]</f>
        <v>43.73</v>
      </c>
      <c r="G44" s="8">
        <f>FARM_DATA[[#This Row],[Labor]]</f>
        <v>89.44</v>
      </c>
      <c r="H44" s="8">
        <f>FARM_DATA[[#This Row],[Household]]</f>
        <v>157.31</v>
      </c>
      <c r="I44" s="8">
        <f>FARM_DATA[[#This Row],[Medical]]</f>
        <v>21.96</v>
      </c>
      <c r="J44" s="8">
        <f>FARM_DATA[[#This Row],[Misc]]</f>
        <v>23.92</v>
      </c>
      <c r="K44" s="8">
        <f>FARM_DATA[[#This Row],[Total_Expenses]]</f>
        <v>449.34</v>
      </c>
      <c r="L44" s="30">
        <f>FARM_DATA[[#This Row],[Savings]]</f>
        <v>-140.61000000000001</v>
      </c>
      <c r="M44" s="5" t="str">
        <f>TEXT(CLEAN_TABLE[[#This Row],[Date]], "mmm")</f>
        <v>May</v>
      </c>
      <c r="N44" s="5">
        <f>YEAR(CLEAN_TABLE[[#This Row],[Date]])</f>
        <v>2024</v>
      </c>
      <c r="O44" s="5">
        <f>IF(CLEAN_TABLE[[#This Row],[Farmer_Type]]="Smart",0,1)</f>
        <v>1</v>
      </c>
      <c r="P44" s="7">
        <f>IFERROR(CLEAN_TABLE[[#This Row],[Savings]]/CLEAN_TABLE[[#This Row],[Income]],0)</f>
        <v>-0.45544650665630165</v>
      </c>
      <c r="Q44" s="7">
        <f>IF(CLEAN_TABLE[[#This Row],[Farmer_Type]]="Smart", 1 - (CLEAN_TABLE[[#This Row],[Irrigation]] / 70), 1 - (CLEAN_TABLE[[#This Row],[Irrigation]] / 150))</f>
        <v>0.5547333333333333</v>
      </c>
      <c r="R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758.07</v>
      </c>
    </row>
    <row r="45" spans="1:19">
      <c r="A45" s="6">
        <f>FARM_DATA[[#This Row],[Date]]</f>
        <v>45426</v>
      </c>
      <c r="B45" s="5" t="str">
        <f>FARM_DATA[[#This Row],[Farmer_Type]]</f>
        <v>Smart</v>
      </c>
      <c r="C45" s="8">
        <f>FARM_DATA[[#This Row],[Income]]</f>
        <v>855.79</v>
      </c>
      <c r="D45" s="8">
        <f>FARM_DATA[[#This Row],[Irrigation]]</f>
        <v>16.16</v>
      </c>
      <c r="E45" s="8">
        <f>FARM_DATA[[#This Row],[Seeds]]</f>
        <v>31.04</v>
      </c>
      <c r="F45" s="8">
        <f>FARM_DATA[[#This Row],[Fertilizer]]</f>
        <v>37.78</v>
      </c>
      <c r="G45" s="8">
        <f>FARM_DATA[[#This Row],[Labor]]</f>
        <v>80.63</v>
      </c>
      <c r="H45" s="8">
        <f>FARM_DATA[[#This Row],[Household]]</f>
        <v>162.53</v>
      </c>
      <c r="I45" s="8">
        <f>FARM_DATA[[#This Row],[Medical]]</f>
        <v>24.8</v>
      </c>
      <c r="J45" s="8">
        <f>FARM_DATA[[#This Row],[Misc]]</f>
        <v>62.13</v>
      </c>
      <c r="K45" s="8">
        <f>FARM_DATA[[#This Row],[Total_Expenses]]</f>
        <v>415.06</v>
      </c>
      <c r="L45" s="30">
        <f>FARM_DATA[[#This Row],[Savings]]</f>
        <v>440.73</v>
      </c>
      <c r="M45" s="5" t="str">
        <f>TEXT(CLEAN_TABLE[[#This Row],[Date]], "mmm")</f>
        <v>May</v>
      </c>
      <c r="N45" s="5">
        <f>YEAR(CLEAN_TABLE[[#This Row],[Date]])</f>
        <v>2024</v>
      </c>
      <c r="O45" s="5">
        <f>IF(CLEAN_TABLE[[#This Row],[Farmer_Type]]="Smart",0,1)</f>
        <v>0</v>
      </c>
      <c r="P45" s="7">
        <f>IFERROR(CLEAN_TABLE[[#This Row],[Savings]]/CLEAN_TABLE[[#This Row],[Income]],0)</f>
        <v>0.51499783825471201</v>
      </c>
      <c r="Q45" s="7">
        <f>IF(CLEAN_TABLE[[#This Row],[Farmer_Type]]="Smart", 1 - (CLEAN_TABLE[[#This Row],[Irrigation]] / 70), 1 - (CLEAN_TABLE[[#This Row],[Irrigation]] / 150))</f>
        <v>0.76914285714285713</v>
      </c>
      <c r="R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1270.8599999999999</v>
      </c>
    </row>
    <row r="46" spans="1:19">
      <c r="A46" s="6">
        <f>FARM_DATA[[#This Row],[Date]]</f>
        <v>45427</v>
      </c>
      <c r="B46" s="5" t="str">
        <f>FARM_DATA[[#This Row],[Farmer_Type]]</f>
        <v>Smart</v>
      </c>
      <c r="C46" s="8">
        <f>FARM_DATA[[#This Row],[Income]]</f>
        <v>1121.53</v>
      </c>
      <c r="D46" s="8">
        <f>FARM_DATA[[#This Row],[Irrigation]]</f>
        <v>14.2</v>
      </c>
      <c r="E46" s="8">
        <f>FARM_DATA[[#This Row],[Seeds]]</f>
        <v>59.62</v>
      </c>
      <c r="F46" s="8">
        <f>FARM_DATA[[#This Row],[Fertilizer]]</f>
        <v>49.92</v>
      </c>
      <c r="G46" s="8">
        <f>FARM_DATA[[#This Row],[Labor]]</f>
        <v>94.63</v>
      </c>
      <c r="H46" s="8">
        <f>FARM_DATA[[#This Row],[Household]]</f>
        <v>159.9</v>
      </c>
      <c r="I46" s="8">
        <f>FARM_DATA[[#This Row],[Medical]]</f>
        <v>24.9</v>
      </c>
      <c r="J46" s="8">
        <f>FARM_DATA[[#This Row],[Misc]]</f>
        <v>27.59</v>
      </c>
      <c r="K46" s="8">
        <f>FARM_DATA[[#This Row],[Total_Expenses]]</f>
        <v>430.77</v>
      </c>
      <c r="L46" s="30">
        <f>FARM_DATA[[#This Row],[Savings]]</f>
        <v>690.77</v>
      </c>
      <c r="M46" s="5" t="str">
        <f>TEXT(CLEAN_TABLE[[#This Row],[Date]], "mmm")</f>
        <v>May</v>
      </c>
      <c r="N46" s="5">
        <f>YEAR(CLEAN_TABLE[[#This Row],[Date]])</f>
        <v>2024</v>
      </c>
      <c r="O46" s="5">
        <f>IF(CLEAN_TABLE[[#This Row],[Farmer_Type]]="Smart",0,1)</f>
        <v>0</v>
      </c>
      <c r="P46" s="7">
        <f>IFERROR(CLEAN_TABLE[[#This Row],[Savings]]/CLEAN_TABLE[[#This Row],[Income]],0)</f>
        <v>0.61591754121601738</v>
      </c>
      <c r="Q46" s="7">
        <f>IF(CLEAN_TABLE[[#This Row],[Farmer_Type]]="Smart", 1 - (CLEAN_TABLE[[#This Row],[Irrigation]] / 70), 1 - (CLEAN_TABLE[[#This Row],[Irrigation]] / 150))</f>
        <v>0.79714285714285715</v>
      </c>
      <c r="R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1552.2900000000002</v>
      </c>
    </row>
    <row r="47" spans="1:19">
      <c r="A47" s="6">
        <f>FARM_DATA[[#This Row],[Date]]</f>
        <v>45428</v>
      </c>
      <c r="B47" s="5" t="str">
        <f>FARM_DATA[[#This Row],[Farmer_Type]]</f>
        <v>Smart</v>
      </c>
      <c r="C47" s="8">
        <f>FARM_DATA[[#This Row],[Income]]</f>
        <v>1053.8699999999999</v>
      </c>
      <c r="D47" s="8">
        <f>FARM_DATA[[#This Row],[Irrigation]]</f>
        <v>22.66</v>
      </c>
      <c r="E47" s="8">
        <f>FARM_DATA[[#This Row],[Seeds]]</f>
        <v>57.82</v>
      </c>
      <c r="F47" s="8">
        <f>FARM_DATA[[#This Row],[Fertilizer]]</f>
        <v>92.05</v>
      </c>
      <c r="G47" s="8">
        <f>FARM_DATA[[#This Row],[Labor]]</f>
        <v>108.8</v>
      </c>
      <c r="H47" s="8">
        <f>FARM_DATA[[#This Row],[Household]]</f>
        <v>155.96</v>
      </c>
      <c r="I47" s="8">
        <f>FARM_DATA[[#This Row],[Medical]]</f>
        <v>24.02</v>
      </c>
      <c r="J47" s="8">
        <f>FARM_DATA[[#This Row],[Misc]]</f>
        <v>40.19</v>
      </c>
      <c r="K47" s="8">
        <f>FARM_DATA[[#This Row],[Total_Expenses]]</f>
        <v>501.51</v>
      </c>
      <c r="L47" s="30">
        <f>FARM_DATA[[#This Row],[Savings]]</f>
        <v>552.36</v>
      </c>
      <c r="M47" s="5" t="str">
        <f>TEXT(CLEAN_TABLE[[#This Row],[Date]], "mmm")</f>
        <v>May</v>
      </c>
      <c r="N47" s="5">
        <f>YEAR(CLEAN_TABLE[[#This Row],[Date]])</f>
        <v>2024</v>
      </c>
      <c r="O47" s="5">
        <f>IF(CLEAN_TABLE[[#This Row],[Farmer_Type]]="Smart",0,1)</f>
        <v>0</v>
      </c>
      <c r="P47" s="7">
        <f>IFERROR(CLEAN_TABLE[[#This Row],[Savings]]/CLEAN_TABLE[[#This Row],[Income]],0)</f>
        <v>0.52412536650630537</v>
      </c>
      <c r="Q47" s="7">
        <f>IF(CLEAN_TABLE[[#This Row],[Farmer_Type]]="Smart", 1 - (CLEAN_TABLE[[#This Row],[Irrigation]] / 70), 1 - (CLEAN_TABLE[[#This Row],[Irrigation]] / 150))</f>
        <v>0.67628571428571427</v>
      </c>
      <c r="R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1555.37</v>
      </c>
    </row>
    <row r="48" spans="1:19">
      <c r="A48" s="6">
        <f>FARM_DATA[[#This Row],[Date]]</f>
        <v>45429</v>
      </c>
      <c r="B48" s="5" t="str">
        <f>FARM_DATA[[#This Row],[Farmer_Type]]</f>
        <v>Smart</v>
      </c>
      <c r="C48" s="8">
        <f>FARM_DATA[[#This Row],[Income]]</f>
        <v>969.54</v>
      </c>
      <c r="D48" s="8">
        <f>FARM_DATA[[#This Row],[Irrigation]]</f>
        <v>11.13</v>
      </c>
      <c r="E48" s="8">
        <f>FARM_DATA[[#This Row],[Seeds]]</f>
        <v>60.49</v>
      </c>
      <c r="F48" s="8">
        <f>FARM_DATA[[#This Row],[Fertilizer]]</f>
        <v>94.94</v>
      </c>
      <c r="G48" s="8">
        <f>FARM_DATA[[#This Row],[Labor]]</f>
        <v>124.02</v>
      </c>
      <c r="H48" s="8">
        <f>FARM_DATA[[#This Row],[Household]]</f>
        <v>203.57</v>
      </c>
      <c r="I48" s="8">
        <f>FARM_DATA[[#This Row],[Medical]]</f>
        <v>41.38</v>
      </c>
      <c r="J48" s="8">
        <f>FARM_DATA[[#This Row],[Misc]]</f>
        <v>28.49</v>
      </c>
      <c r="K48" s="8">
        <f>FARM_DATA[[#This Row],[Total_Expenses]]</f>
        <v>564.03</v>
      </c>
      <c r="L48" s="30">
        <f>FARM_DATA[[#This Row],[Savings]]</f>
        <v>405.5</v>
      </c>
      <c r="M48" s="5" t="str">
        <f>TEXT(CLEAN_TABLE[[#This Row],[Date]], "mmm")</f>
        <v>May</v>
      </c>
      <c r="N48" s="5">
        <f>YEAR(CLEAN_TABLE[[#This Row],[Date]])</f>
        <v>2024</v>
      </c>
      <c r="O48" s="5">
        <f>IF(CLEAN_TABLE[[#This Row],[Farmer_Type]]="Smart",0,1)</f>
        <v>0</v>
      </c>
      <c r="P48" s="7">
        <f>IFERROR(CLEAN_TABLE[[#This Row],[Savings]]/CLEAN_TABLE[[#This Row],[Income]],0)</f>
        <v>0.41823957753161295</v>
      </c>
      <c r="Q48" s="7">
        <f>IF(CLEAN_TABLE[[#This Row],[Farmer_Type]]="Smart", 1 - (CLEAN_TABLE[[#This Row],[Irrigation]] / 70), 1 - (CLEAN_TABLE[[#This Row],[Irrigation]] / 150))</f>
        <v>0.84099999999999997</v>
      </c>
      <c r="R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1533.56</v>
      </c>
    </row>
    <row r="49" spans="1:19">
      <c r="A49" s="6">
        <f>FARM_DATA[[#This Row],[Date]]</f>
        <v>45430</v>
      </c>
      <c r="B49" s="5" t="str">
        <f>FARM_DATA[[#This Row],[Farmer_Type]]</f>
        <v>Traditional</v>
      </c>
      <c r="C49" s="8">
        <f>FARM_DATA[[#This Row],[Income]]</f>
        <v>393.62</v>
      </c>
      <c r="D49" s="8">
        <f>FARM_DATA[[#This Row],[Irrigation]]</f>
        <v>71.83</v>
      </c>
      <c r="E49" s="8">
        <f>FARM_DATA[[#This Row],[Seeds]]</f>
        <v>72.849999999999994</v>
      </c>
      <c r="F49" s="8">
        <f>FARM_DATA[[#This Row],[Fertilizer]]</f>
        <v>38.83</v>
      </c>
      <c r="G49" s="8">
        <f>FARM_DATA[[#This Row],[Labor]]</f>
        <v>89.01</v>
      </c>
      <c r="H49" s="8">
        <f>FARM_DATA[[#This Row],[Household]]</f>
        <v>132.02000000000001</v>
      </c>
      <c r="I49" s="8">
        <f>FARM_DATA[[#This Row],[Medical]]</f>
        <v>3.01</v>
      </c>
      <c r="J49" s="8">
        <f>FARM_DATA[[#This Row],[Misc]]</f>
        <v>23.69</v>
      </c>
      <c r="K49" s="8">
        <f>FARM_DATA[[#This Row],[Total_Expenses]]</f>
        <v>431.24</v>
      </c>
      <c r="L49" s="30">
        <f>FARM_DATA[[#This Row],[Savings]]</f>
        <v>-37.619999999999997</v>
      </c>
      <c r="M49" s="5" t="str">
        <f>TEXT(CLEAN_TABLE[[#This Row],[Date]], "mmm")</f>
        <v>May</v>
      </c>
      <c r="N49" s="5">
        <f>YEAR(CLEAN_TABLE[[#This Row],[Date]])</f>
        <v>2024</v>
      </c>
      <c r="O49" s="5">
        <f>IF(CLEAN_TABLE[[#This Row],[Farmer_Type]]="Smart",0,1)</f>
        <v>1</v>
      </c>
      <c r="P49" s="7">
        <f>IFERROR(CLEAN_TABLE[[#This Row],[Savings]]/CLEAN_TABLE[[#This Row],[Income]],0)</f>
        <v>-9.5574411869315576E-2</v>
      </c>
      <c r="Q49" s="7">
        <f>IF(CLEAN_TABLE[[#This Row],[Farmer_Type]]="Smart", 1 - (CLEAN_TABLE[[#This Row],[Irrigation]] / 70), 1 - (CLEAN_TABLE[[#This Row],[Irrigation]] / 150))</f>
        <v>0.52113333333333334</v>
      </c>
      <c r="R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824.86</v>
      </c>
    </row>
    <row r="50" spans="1:19">
      <c r="A50" s="6">
        <f>FARM_DATA[[#This Row],[Date]]</f>
        <v>45431</v>
      </c>
      <c r="B50" s="5" t="str">
        <f>FARM_DATA[[#This Row],[Farmer_Type]]</f>
        <v>Traditional</v>
      </c>
      <c r="C50" s="8">
        <f>FARM_DATA[[#This Row],[Income]]</f>
        <v>312.04000000000002</v>
      </c>
      <c r="D50" s="8">
        <f>FARM_DATA[[#This Row],[Irrigation]]</f>
        <v>71.5</v>
      </c>
      <c r="E50" s="8">
        <f>FARM_DATA[[#This Row],[Seeds]]</f>
        <v>45.13</v>
      </c>
      <c r="F50" s="8">
        <f>FARM_DATA[[#This Row],[Fertilizer]]</f>
        <v>92.52</v>
      </c>
      <c r="G50" s="8">
        <f>FARM_DATA[[#This Row],[Labor]]</f>
        <v>133.76</v>
      </c>
      <c r="H50" s="8">
        <f>FARM_DATA[[#This Row],[Household]]</f>
        <v>132.69</v>
      </c>
      <c r="I50" s="8">
        <f>FARM_DATA[[#This Row],[Medical]]</f>
        <v>12.81</v>
      </c>
      <c r="J50" s="8">
        <f>FARM_DATA[[#This Row],[Misc]]</f>
        <v>35.9</v>
      </c>
      <c r="K50" s="8">
        <f>FARM_DATA[[#This Row],[Total_Expenses]]</f>
        <v>524.32000000000005</v>
      </c>
      <c r="L50" s="30">
        <f>FARM_DATA[[#This Row],[Savings]]</f>
        <v>-212.28</v>
      </c>
      <c r="M50" s="5" t="str">
        <f>TEXT(CLEAN_TABLE[[#This Row],[Date]], "mmm")</f>
        <v>May</v>
      </c>
      <c r="N50" s="5">
        <f>YEAR(CLEAN_TABLE[[#This Row],[Date]])</f>
        <v>2024</v>
      </c>
      <c r="O50" s="5">
        <f>IF(CLEAN_TABLE[[#This Row],[Farmer_Type]]="Smart",0,1)</f>
        <v>1</v>
      </c>
      <c r="P50" s="7">
        <f>IFERROR(CLEAN_TABLE[[#This Row],[Savings]]/CLEAN_TABLE[[#This Row],[Income]],0)</f>
        <v>-0.6802973977695167</v>
      </c>
      <c r="Q50" s="7">
        <f>IF(CLEAN_TABLE[[#This Row],[Farmer_Type]]="Smart", 1 - (CLEAN_TABLE[[#This Row],[Irrigation]] / 70), 1 - (CLEAN_TABLE[[#This Row],[Irrigation]] / 150))</f>
        <v>0.52333333333333332</v>
      </c>
      <c r="R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836.35</v>
      </c>
    </row>
    <row r="51" spans="1:19">
      <c r="A51" s="6">
        <f>FARM_DATA[[#This Row],[Date]]</f>
        <v>45432</v>
      </c>
      <c r="B51" s="5" t="str">
        <f>FARM_DATA[[#This Row],[Farmer_Type]]</f>
        <v>Traditional</v>
      </c>
      <c r="C51" s="8">
        <f>FARM_DATA[[#This Row],[Income]]</f>
        <v>283.99</v>
      </c>
      <c r="D51" s="8">
        <f>FARM_DATA[[#This Row],[Irrigation]]</f>
        <v>88.31</v>
      </c>
      <c r="E51" s="8">
        <f>FARM_DATA[[#This Row],[Seeds]]</f>
        <v>57.69</v>
      </c>
      <c r="F51" s="8">
        <f>FARM_DATA[[#This Row],[Fertilizer]]</f>
        <v>45.62</v>
      </c>
      <c r="G51" s="8">
        <f>FARM_DATA[[#This Row],[Labor]]</f>
        <v>67.17</v>
      </c>
      <c r="H51" s="8">
        <f>FARM_DATA[[#This Row],[Household]]</f>
        <v>190.62</v>
      </c>
      <c r="I51" s="8">
        <f>FARM_DATA[[#This Row],[Medical]]</f>
        <v>19.079999999999998</v>
      </c>
      <c r="J51" s="8">
        <f>FARM_DATA[[#This Row],[Misc]]</f>
        <v>44.85</v>
      </c>
      <c r="K51" s="8">
        <f>FARM_DATA[[#This Row],[Total_Expenses]]</f>
        <v>513.35</v>
      </c>
      <c r="L51" s="30">
        <f>FARM_DATA[[#This Row],[Savings]]</f>
        <v>-229.36</v>
      </c>
      <c r="M51" s="5" t="str">
        <f>TEXT(CLEAN_TABLE[[#This Row],[Date]], "mmm")</f>
        <v>May</v>
      </c>
      <c r="N51" s="5">
        <f>YEAR(CLEAN_TABLE[[#This Row],[Date]])</f>
        <v>2024</v>
      </c>
      <c r="O51" s="5">
        <f>IF(CLEAN_TABLE[[#This Row],[Farmer_Type]]="Smart",0,1)</f>
        <v>1</v>
      </c>
      <c r="P51" s="7">
        <f>IFERROR(CLEAN_TABLE[[#This Row],[Savings]]/CLEAN_TABLE[[#This Row],[Income]],0)</f>
        <v>-0.80763407162224021</v>
      </c>
      <c r="Q51" s="7">
        <f>IF(CLEAN_TABLE[[#This Row],[Farmer_Type]]="Smart", 1 - (CLEAN_TABLE[[#This Row],[Irrigation]] / 70), 1 - (CLEAN_TABLE[[#This Row],[Irrigation]] / 150))</f>
        <v>0.41126666666666667</v>
      </c>
      <c r="R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797.33</v>
      </c>
    </row>
    <row r="52" spans="1:19">
      <c r="A52" s="6">
        <f>FARM_DATA[[#This Row],[Date]]</f>
        <v>45433</v>
      </c>
      <c r="B52" s="5" t="str">
        <f>FARM_DATA[[#This Row],[Farmer_Type]]</f>
        <v>Traditional</v>
      </c>
      <c r="C52" s="8">
        <f>FARM_DATA[[#This Row],[Income]]</f>
        <v>270.27999999999997</v>
      </c>
      <c r="D52" s="8">
        <f>FARM_DATA[[#This Row],[Irrigation]]</f>
        <v>64.010000000000005</v>
      </c>
      <c r="E52" s="8">
        <f>FARM_DATA[[#This Row],[Seeds]]</f>
        <v>40.08</v>
      </c>
      <c r="F52" s="8">
        <f>FARM_DATA[[#This Row],[Fertilizer]]</f>
        <v>55.94</v>
      </c>
      <c r="G52" s="8">
        <f>FARM_DATA[[#This Row],[Labor]]</f>
        <v>98.75</v>
      </c>
      <c r="H52" s="8">
        <f>FARM_DATA[[#This Row],[Household]]</f>
        <v>168.69</v>
      </c>
      <c r="I52" s="8">
        <f>FARM_DATA[[#This Row],[Medical]]</f>
        <v>11.46</v>
      </c>
      <c r="J52" s="8">
        <f>FARM_DATA[[#This Row],[Misc]]</f>
        <v>28.29</v>
      </c>
      <c r="K52" s="8">
        <f>FARM_DATA[[#This Row],[Total_Expenses]]</f>
        <v>467.21</v>
      </c>
      <c r="L52" s="30">
        <f>FARM_DATA[[#This Row],[Savings]]</f>
        <v>-196.93</v>
      </c>
      <c r="M52" s="5" t="str">
        <f>TEXT(CLEAN_TABLE[[#This Row],[Date]], "mmm")</f>
        <v>May</v>
      </c>
      <c r="N52" s="5">
        <f>YEAR(CLEAN_TABLE[[#This Row],[Date]])</f>
        <v>2024</v>
      </c>
      <c r="O52" s="5">
        <f>IF(CLEAN_TABLE[[#This Row],[Farmer_Type]]="Smart",0,1)</f>
        <v>1</v>
      </c>
      <c r="P52" s="7">
        <f>IFERROR(CLEAN_TABLE[[#This Row],[Savings]]/CLEAN_TABLE[[#This Row],[Income]],0)</f>
        <v>-0.72861476986828488</v>
      </c>
      <c r="Q52" s="7">
        <f>IF(CLEAN_TABLE[[#This Row],[Farmer_Type]]="Smart", 1 - (CLEAN_TABLE[[#This Row],[Irrigation]] / 70), 1 - (CLEAN_TABLE[[#This Row],[Irrigation]] / 150))</f>
        <v>0.57326666666666659</v>
      </c>
      <c r="R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737.5</v>
      </c>
    </row>
    <row r="53" spans="1:19">
      <c r="A53" s="6">
        <f>FARM_DATA[[#This Row],[Date]]</f>
        <v>45434</v>
      </c>
      <c r="B53" s="5" t="str">
        <f>FARM_DATA[[#This Row],[Farmer_Type]]</f>
        <v>Smart</v>
      </c>
      <c r="C53" s="8">
        <f>FARM_DATA[[#This Row],[Income]]</f>
        <v>974.06</v>
      </c>
      <c r="D53" s="8">
        <f>FARM_DATA[[#This Row],[Irrigation]]</f>
        <v>17.57</v>
      </c>
      <c r="E53" s="8">
        <f>FARM_DATA[[#This Row],[Seeds]]</f>
        <v>74.23</v>
      </c>
      <c r="F53" s="8">
        <f>FARM_DATA[[#This Row],[Fertilizer]]</f>
        <v>46.26</v>
      </c>
      <c r="G53" s="8">
        <f>FARM_DATA[[#This Row],[Labor]]</f>
        <v>64.319999999999993</v>
      </c>
      <c r="H53" s="8">
        <f>FARM_DATA[[#This Row],[Household]]</f>
        <v>214.72</v>
      </c>
      <c r="I53" s="8">
        <f>FARM_DATA[[#This Row],[Medical]]</f>
        <v>24.99</v>
      </c>
      <c r="J53" s="8">
        <f>FARM_DATA[[#This Row],[Misc]]</f>
        <v>28.77</v>
      </c>
      <c r="K53" s="8">
        <f>FARM_DATA[[#This Row],[Total_Expenses]]</f>
        <v>470.87</v>
      </c>
      <c r="L53" s="30">
        <f>FARM_DATA[[#This Row],[Savings]]</f>
        <v>503.19</v>
      </c>
      <c r="M53" s="5" t="str">
        <f>TEXT(CLEAN_TABLE[[#This Row],[Date]], "mmm")</f>
        <v>May</v>
      </c>
      <c r="N53" s="5">
        <f>YEAR(CLEAN_TABLE[[#This Row],[Date]])</f>
        <v>2024</v>
      </c>
      <c r="O53" s="5">
        <f>IF(CLEAN_TABLE[[#This Row],[Farmer_Type]]="Smart",0,1)</f>
        <v>0</v>
      </c>
      <c r="P53" s="7">
        <f>IFERROR(CLEAN_TABLE[[#This Row],[Savings]]/CLEAN_TABLE[[#This Row],[Income]],0)</f>
        <v>0.51659035377697471</v>
      </c>
      <c r="Q53" s="7">
        <f>IF(CLEAN_TABLE[[#This Row],[Farmer_Type]]="Smart", 1 - (CLEAN_TABLE[[#This Row],[Irrigation]] / 70), 1 - (CLEAN_TABLE[[#This Row],[Irrigation]] / 150))</f>
        <v>0.749</v>
      </c>
      <c r="R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1444.9199999999998</v>
      </c>
    </row>
    <row r="54" spans="1:19">
      <c r="A54" s="6">
        <f>FARM_DATA[[#This Row],[Date]]</f>
        <v>45435</v>
      </c>
      <c r="B54" s="5" t="str">
        <f>FARM_DATA[[#This Row],[Farmer_Type]]</f>
        <v>Smart</v>
      </c>
      <c r="C54" s="8">
        <f>FARM_DATA[[#This Row],[Income]]</f>
        <v>1260.23</v>
      </c>
      <c r="D54" s="8">
        <f>FARM_DATA[[#This Row],[Irrigation]]</f>
        <v>15.58</v>
      </c>
      <c r="E54" s="8">
        <f>FARM_DATA[[#This Row],[Seeds]]</f>
        <v>83.59</v>
      </c>
      <c r="F54" s="8">
        <f>FARM_DATA[[#This Row],[Fertilizer]]</f>
        <v>82.03</v>
      </c>
      <c r="G54" s="8">
        <f>FARM_DATA[[#This Row],[Labor]]</f>
        <v>136.21</v>
      </c>
      <c r="H54" s="8">
        <f>FARM_DATA[[#This Row],[Household]]</f>
        <v>231.44</v>
      </c>
      <c r="I54" s="8">
        <f>FARM_DATA[[#This Row],[Medical]]</f>
        <v>19.760000000000002</v>
      </c>
      <c r="J54" s="8">
        <f>FARM_DATA[[#This Row],[Misc]]</f>
        <v>54.57</v>
      </c>
      <c r="K54" s="8">
        <f>FARM_DATA[[#This Row],[Total_Expenses]]</f>
        <v>623.16999999999996</v>
      </c>
      <c r="L54" s="30">
        <f>FARM_DATA[[#This Row],[Savings]]</f>
        <v>637.05999999999995</v>
      </c>
      <c r="M54" s="5" t="str">
        <f>TEXT(CLEAN_TABLE[[#This Row],[Date]], "mmm")</f>
        <v>May</v>
      </c>
      <c r="N54" s="5">
        <f>YEAR(CLEAN_TABLE[[#This Row],[Date]])</f>
        <v>2024</v>
      </c>
      <c r="O54" s="5">
        <f>IF(CLEAN_TABLE[[#This Row],[Farmer_Type]]="Smart",0,1)</f>
        <v>0</v>
      </c>
      <c r="P54" s="7">
        <f>IFERROR(CLEAN_TABLE[[#This Row],[Savings]]/CLEAN_TABLE[[#This Row],[Income]],0)</f>
        <v>0.50551089880418654</v>
      </c>
      <c r="Q54" s="7">
        <f>IF(CLEAN_TABLE[[#This Row],[Farmer_Type]]="Smart", 1 - (CLEAN_TABLE[[#This Row],[Irrigation]] / 70), 1 - (CLEAN_TABLE[[#This Row],[Irrigation]] / 150))</f>
        <v>0.77742857142857147</v>
      </c>
      <c r="R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1883.4099999999999</v>
      </c>
    </row>
    <row r="55" spans="1:19">
      <c r="A55" s="6">
        <f>FARM_DATA[[#This Row],[Date]]</f>
        <v>45436</v>
      </c>
      <c r="B55" s="5" t="str">
        <f>FARM_DATA[[#This Row],[Farmer_Type]]</f>
        <v>Smart</v>
      </c>
      <c r="C55" s="8">
        <f>FARM_DATA[[#This Row],[Income]]</f>
        <v>1079.08</v>
      </c>
      <c r="D55" s="8">
        <f>FARM_DATA[[#This Row],[Irrigation]]</f>
        <v>21.84</v>
      </c>
      <c r="E55" s="8">
        <f>FARM_DATA[[#This Row],[Seeds]]</f>
        <v>40.700000000000003</v>
      </c>
      <c r="F55" s="8">
        <f>FARM_DATA[[#This Row],[Fertilizer]]</f>
        <v>100.58</v>
      </c>
      <c r="G55" s="8">
        <f>FARM_DATA[[#This Row],[Labor]]</f>
        <v>116.17</v>
      </c>
      <c r="H55" s="8">
        <f>FARM_DATA[[#This Row],[Household]]</f>
        <v>108.44</v>
      </c>
      <c r="I55" s="8">
        <f>FARM_DATA[[#This Row],[Medical]]</f>
        <v>11.35</v>
      </c>
      <c r="J55" s="8">
        <f>FARM_DATA[[#This Row],[Misc]]</f>
        <v>9.41</v>
      </c>
      <c r="K55" s="8">
        <f>FARM_DATA[[#This Row],[Total_Expenses]]</f>
        <v>408.5</v>
      </c>
      <c r="L55" s="30">
        <f>FARM_DATA[[#This Row],[Savings]]</f>
        <v>670.57</v>
      </c>
      <c r="M55" s="5" t="str">
        <f>TEXT(CLEAN_TABLE[[#This Row],[Date]], "mmm")</f>
        <v>May</v>
      </c>
      <c r="N55" s="5">
        <f>YEAR(CLEAN_TABLE[[#This Row],[Date]])</f>
        <v>2024</v>
      </c>
      <c r="O55" s="5">
        <f>IF(CLEAN_TABLE[[#This Row],[Farmer_Type]]="Smart",0,1)</f>
        <v>0</v>
      </c>
      <c r="P55" s="7">
        <f>IFERROR(CLEAN_TABLE[[#This Row],[Savings]]/CLEAN_TABLE[[#This Row],[Income]],0)</f>
        <v>0.62142751232531424</v>
      </c>
      <c r="Q55" s="7">
        <f>IF(CLEAN_TABLE[[#This Row],[Farmer_Type]]="Smart", 1 - (CLEAN_TABLE[[#This Row],[Irrigation]] / 70), 1 - (CLEAN_TABLE[[#This Row],[Irrigation]] / 150))</f>
        <v>0.68799999999999994</v>
      </c>
      <c r="R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1487.57</v>
      </c>
    </row>
    <row r="56" spans="1:19">
      <c r="A56" s="6">
        <f>FARM_DATA[[#This Row],[Date]]</f>
        <v>45437</v>
      </c>
      <c r="B56" s="5" t="str">
        <f>FARM_DATA[[#This Row],[Farmer_Type]]</f>
        <v>Traditional</v>
      </c>
      <c r="C56" s="8">
        <f>FARM_DATA[[#This Row],[Income]]</f>
        <v>336.53</v>
      </c>
      <c r="D56" s="8">
        <f>FARM_DATA[[#This Row],[Irrigation]]</f>
        <v>77.180000000000007</v>
      </c>
      <c r="E56" s="8">
        <f>FARM_DATA[[#This Row],[Seeds]]</f>
        <v>62.54</v>
      </c>
      <c r="F56" s="8">
        <f>FARM_DATA[[#This Row],[Fertilizer]]</f>
        <v>56.48</v>
      </c>
      <c r="G56" s="8">
        <f>FARM_DATA[[#This Row],[Labor]]</f>
        <v>150.72</v>
      </c>
      <c r="H56" s="8">
        <f>FARM_DATA[[#This Row],[Household]]</f>
        <v>108.6</v>
      </c>
      <c r="I56" s="8">
        <f>FARM_DATA[[#This Row],[Medical]]</f>
        <v>6.37</v>
      </c>
      <c r="J56" s="8">
        <f>FARM_DATA[[#This Row],[Misc]]</f>
        <v>29.33</v>
      </c>
      <c r="K56" s="8">
        <f>FARM_DATA[[#This Row],[Total_Expenses]]</f>
        <v>491.21</v>
      </c>
      <c r="L56" s="30">
        <f>FARM_DATA[[#This Row],[Savings]]</f>
        <v>-154.68</v>
      </c>
      <c r="M56" s="5" t="str">
        <f>TEXT(CLEAN_TABLE[[#This Row],[Date]], "mmm")</f>
        <v>May</v>
      </c>
      <c r="N56" s="5">
        <f>YEAR(CLEAN_TABLE[[#This Row],[Date]])</f>
        <v>2024</v>
      </c>
      <c r="O56" s="5">
        <f>IF(CLEAN_TABLE[[#This Row],[Farmer_Type]]="Smart",0,1)</f>
        <v>1</v>
      </c>
      <c r="P56" s="7">
        <f>IFERROR(CLEAN_TABLE[[#This Row],[Savings]]/CLEAN_TABLE[[#This Row],[Income]],0)</f>
        <v>-0.45963212789350139</v>
      </c>
      <c r="Q56" s="7">
        <f>IF(CLEAN_TABLE[[#This Row],[Farmer_Type]]="Smart", 1 - (CLEAN_TABLE[[#This Row],[Irrigation]] / 70), 1 - (CLEAN_TABLE[[#This Row],[Irrigation]] / 150))</f>
        <v>0.4854666666666666</v>
      </c>
      <c r="R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827.75000000000011</v>
      </c>
    </row>
    <row r="57" spans="1:19">
      <c r="A57" s="6">
        <f>FARM_DATA[[#This Row],[Date]]</f>
        <v>45438</v>
      </c>
      <c r="B57" s="5" t="str">
        <f>FARM_DATA[[#This Row],[Farmer_Type]]</f>
        <v>Traditional</v>
      </c>
      <c r="C57" s="8">
        <f>FARM_DATA[[#This Row],[Income]]</f>
        <v>369.2</v>
      </c>
      <c r="D57" s="8">
        <f>FARM_DATA[[#This Row],[Irrigation]]</f>
        <v>69.67</v>
      </c>
      <c r="E57" s="8">
        <f>FARM_DATA[[#This Row],[Seeds]]</f>
        <v>8.99</v>
      </c>
      <c r="F57" s="8">
        <f>FARM_DATA[[#This Row],[Fertilizer]]</f>
        <v>53.22</v>
      </c>
      <c r="G57" s="8">
        <f>FARM_DATA[[#This Row],[Labor]]</f>
        <v>77.39</v>
      </c>
      <c r="H57" s="8">
        <f>FARM_DATA[[#This Row],[Household]]</f>
        <v>170.09</v>
      </c>
      <c r="I57" s="8">
        <f>FARM_DATA[[#This Row],[Medical]]</f>
        <v>22.93</v>
      </c>
      <c r="J57" s="8">
        <f>FARM_DATA[[#This Row],[Misc]]</f>
        <v>18.72</v>
      </c>
      <c r="K57" s="8">
        <f>FARM_DATA[[#This Row],[Total_Expenses]]</f>
        <v>421.01</v>
      </c>
      <c r="L57" s="30">
        <f>FARM_DATA[[#This Row],[Savings]]</f>
        <v>-51.81</v>
      </c>
      <c r="M57" s="5" t="str">
        <f>TEXT(CLEAN_TABLE[[#This Row],[Date]], "mmm")</f>
        <v>May</v>
      </c>
      <c r="N57" s="5">
        <f>YEAR(CLEAN_TABLE[[#This Row],[Date]])</f>
        <v>2024</v>
      </c>
      <c r="O57" s="5">
        <f>IF(CLEAN_TABLE[[#This Row],[Farmer_Type]]="Smart",0,1)</f>
        <v>1</v>
      </c>
      <c r="P57" s="7">
        <f>IFERROR(CLEAN_TABLE[[#This Row],[Savings]]/CLEAN_TABLE[[#This Row],[Income]],0)</f>
        <v>-0.14033044420368365</v>
      </c>
      <c r="Q57" s="7">
        <f>IF(CLEAN_TABLE[[#This Row],[Farmer_Type]]="Smart", 1 - (CLEAN_TABLE[[#This Row],[Irrigation]] / 70), 1 - (CLEAN_TABLE[[#This Row],[Irrigation]] / 150))</f>
        <v>0.53553333333333331</v>
      </c>
      <c r="R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790.21</v>
      </c>
    </row>
    <row r="58" spans="1:19">
      <c r="A58" s="6">
        <f>FARM_DATA[[#This Row],[Date]]</f>
        <v>45439</v>
      </c>
      <c r="B58" s="5" t="str">
        <f>FARM_DATA[[#This Row],[Farmer_Type]]</f>
        <v>Traditional</v>
      </c>
      <c r="C58" s="8">
        <f>FARM_DATA[[#This Row],[Income]]</f>
        <v>324.31</v>
      </c>
      <c r="D58" s="8">
        <f>FARM_DATA[[#This Row],[Irrigation]]</f>
        <v>59.41</v>
      </c>
      <c r="E58" s="8">
        <f>FARM_DATA[[#This Row],[Seeds]]</f>
        <v>39.06</v>
      </c>
      <c r="F58" s="8">
        <f>FARM_DATA[[#This Row],[Fertilizer]]</f>
        <v>74.099999999999994</v>
      </c>
      <c r="G58" s="8">
        <f>FARM_DATA[[#This Row],[Labor]]</f>
        <v>85.36</v>
      </c>
      <c r="H58" s="8">
        <f>FARM_DATA[[#This Row],[Household]]</f>
        <v>165.12</v>
      </c>
      <c r="I58" s="8">
        <f>FARM_DATA[[#This Row],[Medical]]</f>
        <v>15.76</v>
      </c>
      <c r="J58" s="8">
        <f>FARM_DATA[[#This Row],[Misc]]</f>
        <v>20.49</v>
      </c>
      <c r="K58" s="8">
        <f>FARM_DATA[[#This Row],[Total_Expenses]]</f>
        <v>459.29</v>
      </c>
      <c r="L58" s="30">
        <f>FARM_DATA[[#This Row],[Savings]]</f>
        <v>-134.99</v>
      </c>
      <c r="M58" s="5" t="str">
        <f>TEXT(CLEAN_TABLE[[#This Row],[Date]], "mmm")</f>
        <v>May</v>
      </c>
      <c r="N58" s="5">
        <f>YEAR(CLEAN_TABLE[[#This Row],[Date]])</f>
        <v>2024</v>
      </c>
      <c r="O58" s="5">
        <f>IF(CLEAN_TABLE[[#This Row],[Farmer_Type]]="Smart",0,1)</f>
        <v>1</v>
      </c>
      <c r="P58" s="7">
        <f>IFERROR(CLEAN_TABLE[[#This Row],[Savings]]/CLEAN_TABLE[[#This Row],[Income]],0)</f>
        <v>-0.41623755049181344</v>
      </c>
      <c r="Q58" s="7">
        <f>IF(CLEAN_TABLE[[#This Row],[Farmer_Type]]="Smart", 1 - (CLEAN_TABLE[[#This Row],[Irrigation]] / 70), 1 - (CLEAN_TABLE[[#This Row],[Irrigation]] / 150))</f>
        <v>0.60393333333333343</v>
      </c>
      <c r="R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783.61</v>
      </c>
    </row>
    <row r="59" spans="1:19">
      <c r="A59" s="6">
        <f>FARM_DATA[[#This Row],[Date]]</f>
        <v>45440</v>
      </c>
      <c r="B59" s="5" t="str">
        <f>FARM_DATA[[#This Row],[Farmer_Type]]</f>
        <v>Traditional</v>
      </c>
      <c r="C59" s="8">
        <f>FARM_DATA[[#This Row],[Income]]</f>
        <v>344.65</v>
      </c>
      <c r="D59" s="8">
        <f>FARM_DATA[[#This Row],[Irrigation]]</f>
        <v>59.65</v>
      </c>
      <c r="E59" s="8">
        <f>FARM_DATA[[#This Row],[Seeds]]</f>
        <v>31.7</v>
      </c>
      <c r="F59" s="8">
        <f>FARM_DATA[[#This Row],[Fertilizer]]</f>
        <v>31.04</v>
      </c>
      <c r="G59" s="8">
        <f>FARM_DATA[[#This Row],[Labor]]</f>
        <v>159.12</v>
      </c>
      <c r="H59" s="8">
        <f>FARM_DATA[[#This Row],[Household]]</f>
        <v>151.06</v>
      </c>
      <c r="I59" s="8">
        <f>FARM_DATA[[#This Row],[Medical]]</f>
        <v>14.4</v>
      </c>
      <c r="J59" s="8">
        <f>FARM_DATA[[#This Row],[Misc]]</f>
        <v>32.57</v>
      </c>
      <c r="K59" s="8">
        <f>FARM_DATA[[#This Row],[Total_Expenses]]</f>
        <v>479.53</v>
      </c>
      <c r="L59" s="30">
        <f>FARM_DATA[[#This Row],[Savings]]</f>
        <v>-134.88</v>
      </c>
      <c r="M59" s="5" t="str">
        <f>TEXT(CLEAN_TABLE[[#This Row],[Date]], "mmm")</f>
        <v>May</v>
      </c>
      <c r="N59" s="5">
        <f>YEAR(CLEAN_TABLE[[#This Row],[Date]])</f>
        <v>2024</v>
      </c>
      <c r="O59" s="5">
        <f>IF(CLEAN_TABLE[[#This Row],[Farmer_Type]]="Smart",0,1)</f>
        <v>1</v>
      </c>
      <c r="P59" s="7">
        <f>IFERROR(CLEAN_TABLE[[#This Row],[Savings]]/CLEAN_TABLE[[#This Row],[Income]],0)</f>
        <v>-0.39135354707674452</v>
      </c>
      <c r="Q59" s="7">
        <f>IF(CLEAN_TABLE[[#This Row],[Farmer_Type]]="Smart", 1 - (CLEAN_TABLE[[#This Row],[Irrigation]] / 70), 1 - (CLEAN_TABLE[[#This Row],[Irrigation]] / 150))</f>
        <v>0.60233333333333339</v>
      </c>
      <c r="R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824.19</v>
      </c>
    </row>
    <row r="60" spans="1:19">
      <c r="A60" s="6">
        <f>FARM_DATA[[#This Row],[Date]]</f>
        <v>45441</v>
      </c>
      <c r="B60" s="5" t="str">
        <f>FARM_DATA[[#This Row],[Farmer_Type]]</f>
        <v>Traditional</v>
      </c>
      <c r="C60" s="8">
        <f>FARM_DATA[[#This Row],[Income]]</f>
        <v>344.38</v>
      </c>
      <c r="D60" s="8">
        <f>FARM_DATA[[#This Row],[Irrigation]]</f>
        <v>67.790000000000006</v>
      </c>
      <c r="E60" s="8">
        <f>FARM_DATA[[#This Row],[Seeds]]</f>
        <v>49.21</v>
      </c>
      <c r="F60" s="8">
        <f>FARM_DATA[[#This Row],[Fertilizer]]</f>
        <v>70.150000000000006</v>
      </c>
      <c r="G60" s="8">
        <f>FARM_DATA[[#This Row],[Labor]]</f>
        <v>96.74</v>
      </c>
      <c r="H60" s="8">
        <f>FARM_DATA[[#This Row],[Household]]</f>
        <v>132.72999999999999</v>
      </c>
      <c r="I60" s="8">
        <f>FARM_DATA[[#This Row],[Medical]]</f>
        <v>17.8</v>
      </c>
      <c r="J60" s="8">
        <f>FARM_DATA[[#This Row],[Misc]]</f>
        <v>2.38</v>
      </c>
      <c r="K60" s="8">
        <f>FARM_DATA[[#This Row],[Total_Expenses]]</f>
        <v>436.79</v>
      </c>
      <c r="L60" s="30">
        <f>FARM_DATA[[#This Row],[Savings]]</f>
        <v>-92.41</v>
      </c>
      <c r="M60" s="5" t="str">
        <f>TEXT(CLEAN_TABLE[[#This Row],[Date]], "mmm")</f>
        <v>May</v>
      </c>
      <c r="N60" s="5">
        <f>YEAR(CLEAN_TABLE[[#This Row],[Date]])</f>
        <v>2024</v>
      </c>
      <c r="O60" s="5">
        <f>IF(CLEAN_TABLE[[#This Row],[Farmer_Type]]="Smart",0,1)</f>
        <v>1</v>
      </c>
      <c r="P60" s="7">
        <f>IFERROR(CLEAN_TABLE[[#This Row],[Savings]]/CLEAN_TABLE[[#This Row],[Income]],0)</f>
        <v>-0.26833730181775944</v>
      </c>
      <c r="Q60" s="7">
        <f>IF(CLEAN_TABLE[[#This Row],[Farmer_Type]]="Smart", 1 - (CLEAN_TABLE[[#This Row],[Irrigation]] / 70), 1 - (CLEAN_TABLE[[#This Row],[Irrigation]] / 150))</f>
        <v>0.5480666666666667</v>
      </c>
      <c r="R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781.18</v>
      </c>
    </row>
    <row r="61" spans="1:19">
      <c r="A61" s="6">
        <f>FARM_DATA[[#This Row],[Date]]</f>
        <v>45442</v>
      </c>
      <c r="B61" s="5" t="str">
        <f>FARM_DATA[[#This Row],[Farmer_Type]]</f>
        <v>Traditional</v>
      </c>
      <c r="C61" s="8">
        <f>FARM_DATA[[#This Row],[Income]]</f>
        <v>274.24</v>
      </c>
      <c r="D61" s="8">
        <f>FARM_DATA[[#This Row],[Irrigation]]</f>
        <v>83.67</v>
      </c>
      <c r="E61" s="8">
        <f>FARM_DATA[[#This Row],[Seeds]]</f>
        <v>64.67</v>
      </c>
      <c r="F61" s="8">
        <f>FARM_DATA[[#This Row],[Fertilizer]]</f>
        <v>50.02</v>
      </c>
      <c r="G61" s="8">
        <f>FARM_DATA[[#This Row],[Labor]]</f>
        <v>124.41</v>
      </c>
      <c r="H61" s="8">
        <f>FARM_DATA[[#This Row],[Household]]</f>
        <v>159.34</v>
      </c>
      <c r="I61" s="8">
        <f>FARM_DATA[[#This Row],[Medical]]</f>
        <v>44.63</v>
      </c>
      <c r="J61" s="8">
        <f>FARM_DATA[[#This Row],[Misc]]</f>
        <v>43.43</v>
      </c>
      <c r="K61" s="8">
        <f>FARM_DATA[[#This Row],[Total_Expenses]]</f>
        <v>570.17999999999995</v>
      </c>
      <c r="L61" s="30">
        <f>FARM_DATA[[#This Row],[Savings]]</f>
        <v>-295.94</v>
      </c>
      <c r="M61" s="5" t="str">
        <f>TEXT(CLEAN_TABLE[[#This Row],[Date]], "mmm")</f>
        <v>May</v>
      </c>
      <c r="N61" s="5">
        <f>YEAR(CLEAN_TABLE[[#This Row],[Date]])</f>
        <v>2024</v>
      </c>
      <c r="O61" s="5">
        <f>IF(CLEAN_TABLE[[#This Row],[Farmer_Type]]="Smart",0,1)</f>
        <v>1</v>
      </c>
      <c r="P61" s="7">
        <f>IFERROR(CLEAN_TABLE[[#This Row],[Savings]]/CLEAN_TABLE[[#This Row],[Income]],0)</f>
        <v>-1.0791277712952159</v>
      </c>
      <c r="Q61" s="7">
        <f>IF(CLEAN_TABLE[[#This Row],[Farmer_Type]]="Smart", 1 - (CLEAN_TABLE[[#This Row],[Irrigation]] / 70), 1 - (CLEAN_TABLE[[#This Row],[Irrigation]] / 150))</f>
        <v>0.44220000000000004</v>
      </c>
      <c r="R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844.41</v>
      </c>
    </row>
    <row r="62" spans="1:19">
      <c r="A62" s="6">
        <f>FARM_DATA[[#This Row],[Date]]</f>
        <v>45443</v>
      </c>
      <c r="B62" s="5" t="str">
        <f>FARM_DATA[[#This Row],[Farmer_Type]]</f>
        <v>Smart</v>
      </c>
      <c r="C62" s="8">
        <f>FARM_DATA[[#This Row],[Income]]</f>
        <v>924.42</v>
      </c>
      <c r="D62" s="8">
        <f>FARM_DATA[[#This Row],[Irrigation]]</f>
        <v>10.220000000000001</v>
      </c>
      <c r="E62" s="8">
        <f>FARM_DATA[[#This Row],[Seeds]]</f>
        <v>27.87</v>
      </c>
      <c r="F62" s="8">
        <f>FARM_DATA[[#This Row],[Fertilizer]]</f>
        <v>86.1</v>
      </c>
      <c r="G62" s="8">
        <f>FARM_DATA[[#This Row],[Labor]]</f>
        <v>79.87</v>
      </c>
      <c r="H62" s="8">
        <f>FARM_DATA[[#This Row],[Household]]</f>
        <v>120.22</v>
      </c>
      <c r="I62" s="8">
        <f>FARM_DATA[[#This Row],[Medical]]</f>
        <v>16.18</v>
      </c>
      <c r="J62" s="8">
        <f>FARM_DATA[[#This Row],[Misc]]</f>
        <v>23.78</v>
      </c>
      <c r="K62" s="8">
        <f>FARM_DATA[[#This Row],[Total_Expenses]]</f>
        <v>364.25</v>
      </c>
      <c r="L62" s="30">
        <f>FARM_DATA[[#This Row],[Savings]]</f>
        <v>560.16999999999996</v>
      </c>
      <c r="M62" s="5" t="str">
        <f>TEXT(CLEAN_TABLE[[#This Row],[Date]], "mmm")</f>
        <v>May</v>
      </c>
      <c r="N62" s="5">
        <f>YEAR(CLEAN_TABLE[[#This Row],[Date]])</f>
        <v>2024</v>
      </c>
      <c r="O62" s="5">
        <f>IF(CLEAN_TABLE[[#This Row],[Farmer_Type]]="Smart",0,1)</f>
        <v>0</v>
      </c>
      <c r="P62" s="7">
        <f>IFERROR(CLEAN_TABLE[[#This Row],[Savings]]/CLEAN_TABLE[[#This Row],[Income]],0)</f>
        <v>0.60596914822266934</v>
      </c>
      <c r="Q62" s="7">
        <f>IF(CLEAN_TABLE[[#This Row],[Farmer_Type]]="Smart", 1 - (CLEAN_TABLE[[#This Row],[Irrigation]] / 70), 1 - (CLEAN_TABLE[[#This Row],[Irrigation]] / 150))</f>
        <v>0.85399999999999998</v>
      </c>
      <c r="R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1288.6600000000001</v>
      </c>
    </row>
    <row r="63" spans="1:19">
      <c r="A63" s="6">
        <f>FARM_DATA[[#This Row],[Date]]</f>
        <v>45444</v>
      </c>
      <c r="B63" s="5" t="str">
        <f>FARM_DATA[[#This Row],[Farmer_Type]]</f>
        <v>Traditional</v>
      </c>
      <c r="C63" s="8">
        <f>FARM_DATA[[#This Row],[Income]]</f>
        <v>434.36</v>
      </c>
      <c r="D63" s="8">
        <f>FARM_DATA[[#This Row],[Irrigation]]</f>
        <v>78.819999999999993</v>
      </c>
      <c r="E63" s="8">
        <f>FARM_DATA[[#This Row],[Seeds]]</f>
        <v>39.880000000000003</v>
      </c>
      <c r="F63" s="8">
        <f>FARM_DATA[[#This Row],[Fertilizer]]</f>
        <v>84.6</v>
      </c>
      <c r="G63" s="8">
        <f>FARM_DATA[[#This Row],[Labor]]</f>
        <v>111.93</v>
      </c>
      <c r="H63" s="8">
        <f>FARM_DATA[[#This Row],[Household]]</f>
        <v>124.16</v>
      </c>
      <c r="I63" s="8">
        <f>FARM_DATA[[#This Row],[Medical]]</f>
        <v>32.18</v>
      </c>
      <c r="J63" s="8">
        <f>FARM_DATA[[#This Row],[Misc]]</f>
        <v>36.47</v>
      </c>
      <c r="K63" s="8">
        <f>FARM_DATA[[#This Row],[Total_Expenses]]</f>
        <v>508.04</v>
      </c>
      <c r="L63" s="30">
        <f>FARM_DATA[[#This Row],[Savings]]</f>
        <v>-73.69</v>
      </c>
      <c r="M63" s="5" t="str">
        <f>TEXT(CLEAN_TABLE[[#This Row],[Date]], "mmm")</f>
        <v>Jun</v>
      </c>
      <c r="N63" s="5">
        <f>YEAR(CLEAN_TABLE[[#This Row],[Date]])</f>
        <v>2024</v>
      </c>
      <c r="O63" s="5">
        <f>IF(CLEAN_TABLE[[#This Row],[Farmer_Type]]="Smart",0,1)</f>
        <v>1</v>
      </c>
      <c r="P63" s="7">
        <f>IFERROR(CLEAN_TABLE[[#This Row],[Savings]]/CLEAN_TABLE[[#This Row],[Income]],0)</f>
        <v>-0.16965190164840224</v>
      </c>
      <c r="Q63" s="7">
        <f>IF(CLEAN_TABLE[[#This Row],[Farmer_Type]]="Smart", 1 - (CLEAN_TABLE[[#This Row],[Irrigation]] / 70), 1 - (CLEAN_TABLE[[#This Row],[Irrigation]] / 150))</f>
        <v>0.47453333333333336</v>
      </c>
      <c r="R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942.40000000000009</v>
      </c>
    </row>
    <row r="64" spans="1:19">
      <c r="A64" s="6">
        <f>FARM_DATA[[#This Row],[Date]]</f>
        <v>45445</v>
      </c>
      <c r="B64" s="5" t="str">
        <f>FARM_DATA[[#This Row],[Farmer_Type]]</f>
        <v>Traditional</v>
      </c>
      <c r="C64" s="8">
        <f>FARM_DATA[[#This Row],[Income]]</f>
        <v>298.14</v>
      </c>
      <c r="D64" s="8">
        <f>FARM_DATA[[#This Row],[Irrigation]]</f>
        <v>68.099999999999994</v>
      </c>
      <c r="E64" s="8">
        <f>FARM_DATA[[#This Row],[Seeds]]</f>
        <v>26.87</v>
      </c>
      <c r="F64" s="8">
        <f>FARM_DATA[[#This Row],[Fertilizer]]</f>
        <v>27.34</v>
      </c>
      <c r="G64" s="8">
        <f>FARM_DATA[[#This Row],[Labor]]</f>
        <v>133.15</v>
      </c>
      <c r="H64" s="8">
        <f>FARM_DATA[[#This Row],[Household]]</f>
        <v>207.28</v>
      </c>
      <c r="I64" s="8">
        <f>FARM_DATA[[#This Row],[Medical]]</f>
        <v>8.81</v>
      </c>
      <c r="J64" s="8">
        <f>FARM_DATA[[#This Row],[Misc]]</f>
        <v>36.76</v>
      </c>
      <c r="K64" s="8">
        <f>FARM_DATA[[#This Row],[Total_Expenses]]</f>
        <v>508.31</v>
      </c>
      <c r="L64" s="30">
        <f>FARM_DATA[[#This Row],[Savings]]</f>
        <v>-210.17</v>
      </c>
      <c r="M64" s="5" t="str">
        <f>TEXT(CLEAN_TABLE[[#This Row],[Date]], "mmm")</f>
        <v>Jun</v>
      </c>
      <c r="N64" s="5">
        <f>YEAR(CLEAN_TABLE[[#This Row],[Date]])</f>
        <v>2024</v>
      </c>
      <c r="O64" s="5">
        <f>IF(CLEAN_TABLE[[#This Row],[Farmer_Type]]="Smart",0,1)</f>
        <v>1</v>
      </c>
      <c r="P64" s="7">
        <f>IFERROR(CLEAN_TABLE[[#This Row],[Savings]]/CLEAN_TABLE[[#This Row],[Income]],0)</f>
        <v>-0.70493727778895821</v>
      </c>
      <c r="Q64" s="7">
        <f>IF(CLEAN_TABLE[[#This Row],[Farmer_Type]]="Smart", 1 - (CLEAN_TABLE[[#This Row],[Irrigation]] / 70), 1 - (CLEAN_TABLE[[#This Row],[Irrigation]] / 150))</f>
        <v>0.54600000000000004</v>
      </c>
      <c r="R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806.44999999999993</v>
      </c>
    </row>
    <row r="65" spans="1:19">
      <c r="A65" s="6">
        <f>FARM_DATA[[#This Row],[Date]]</f>
        <v>45446</v>
      </c>
      <c r="B65" s="5" t="str">
        <f>FARM_DATA[[#This Row],[Farmer_Type]]</f>
        <v>Traditional</v>
      </c>
      <c r="C65" s="8">
        <f>FARM_DATA[[#This Row],[Income]]</f>
        <v>317.47000000000003</v>
      </c>
      <c r="D65" s="8">
        <f>FARM_DATA[[#This Row],[Irrigation]]</f>
        <v>65.13</v>
      </c>
      <c r="E65" s="8">
        <f>FARM_DATA[[#This Row],[Seeds]]</f>
        <v>31.11</v>
      </c>
      <c r="F65" s="8">
        <f>FARM_DATA[[#This Row],[Fertilizer]]</f>
        <v>37.72</v>
      </c>
      <c r="G65" s="8">
        <f>FARM_DATA[[#This Row],[Labor]]</f>
        <v>111.21</v>
      </c>
      <c r="H65" s="8">
        <f>FARM_DATA[[#This Row],[Household]]</f>
        <v>125.07</v>
      </c>
      <c r="I65" s="8">
        <f>FARM_DATA[[#This Row],[Medical]]</f>
        <v>22.16</v>
      </c>
      <c r="J65" s="8">
        <f>FARM_DATA[[#This Row],[Misc]]</f>
        <v>29.4</v>
      </c>
      <c r="K65" s="8">
        <f>FARM_DATA[[#This Row],[Total_Expenses]]</f>
        <v>421.81</v>
      </c>
      <c r="L65" s="30">
        <f>FARM_DATA[[#This Row],[Savings]]</f>
        <v>-104.34</v>
      </c>
      <c r="M65" s="5" t="str">
        <f>TEXT(CLEAN_TABLE[[#This Row],[Date]], "mmm")</f>
        <v>Jun</v>
      </c>
      <c r="N65" s="5">
        <f>YEAR(CLEAN_TABLE[[#This Row],[Date]])</f>
        <v>2024</v>
      </c>
      <c r="O65" s="5">
        <f>IF(CLEAN_TABLE[[#This Row],[Farmer_Type]]="Smart",0,1)</f>
        <v>1</v>
      </c>
      <c r="P65" s="7">
        <f>IFERROR(CLEAN_TABLE[[#This Row],[Savings]]/CLEAN_TABLE[[#This Row],[Income]],0)</f>
        <v>-0.32866097584023685</v>
      </c>
      <c r="Q65" s="7">
        <f>IF(CLEAN_TABLE[[#This Row],[Farmer_Type]]="Smart", 1 - (CLEAN_TABLE[[#This Row],[Irrigation]] / 70), 1 - (CLEAN_TABLE[[#This Row],[Irrigation]] / 150))</f>
        <v>0.56580000000000008</v>
      </c>
      <c r="R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739.27</v>
      </c>
    </row>
    <row r="66" spans="1:19">
      <c r="A66" s="6">
        <f>FARM_DATA[[#This Row],[Date]]</f>
        <v>45447</v>
      </c>
      <c r="B66" s="5" t="str">
        <f>FARM_DATA[[#This Row],[Farmer_Type]]</f>
        <v>Smart</v>
      </c>
      <c r="C66" s="8">
        <f>FARM_DATA[[#This Row],[Income]]</f>
        <v>902.21</v>
      </c>
      <c r="D66" s="8">
        <f>FARM_DATA[[#This Row],[Irrigation]]</f>
        <v>10.46</v>
      </c>
      <c r="E66" s="8">
        <f>FARM_DATA[[#This Row],[Seeds]]</f>
        <v>48.46</v>
      </c>
      <c r="F66" s="8">
        <f>FARM_DATA[[#This Row],[Fertilizer]]</f>
        <v>102.66</v>
      </c>
      <c r="G66" s="8">
        <f>FARM_DATA[[#This Row],[Labor]]</f>
        <v>105.02</v>
      </c>
      <c r="H66" s="8">
        <f>FARM_DATA[[#This Row],[Household]]</f>
        <v>135.79</v>
      </c>
      <c r="I66" s="8">
        <f>FARM_DATA[[#This Row],[Medical]]</f>
        <v>22.89</v>
      </c>
      <c r="J66" s="8">
        <f>FARM_DATA[[#This Row],[Misc]]</f>
        <v>51.27</v>
      </c>
      <c r="K66" s="8">
        <f>FARM_DATA[[#This Row],[Total_Expenses]]</f>
        <v>476.56</v>
      </c>
      <c r="L66" s="30">
        <f>FARM_DATA[[#This Row],[Savings]]</f>
        <v>425.65</v>
      </c>
      <c r="M66" s="5" t="str">
        <f>TEXT(CLEAN_TABLE[[#This Row],[Date]], "mmm")</f>
        <v>Jun</v>
      </c>
      <c r="N66" s="5">
        <f>YEAR(CLEAN_TABLE[[#This Row],[Date]])</f>
        <v>2024</v>
      </c>
      <c r="O66" s="5">
        <f>IF(CLEAN_TABLE[[#This Row],[Farmer_Type]]="Smart",0,1)</f>
        <v>0</v>
      </c>
      <c r="P66" s="7">
        <f>IFERROR(CLEAN_TABLE[[#This Row],[Savings]]/CLEAN_TABLE[[#This Row],[Income]],0)</f>
        <v>0.47178594783919481</v>
      </c>
      <c r="Q66" s="7">
        <f>IF(CLEAN_TABLE[[#This Row],[Farmer_Type]]="Smart", 1 - (CLEAN_TABLE[[#This Row],[Irrigation]] / 70), 1 - (CLEAN_TABLE[[#This Row],[Irrigation]] / 150))</f>
        <v>0.85057142857142853</v>
      </c>
      <c r="R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1378.7600000000002</v>
      </c>
    </row>
    <row r="67" spans="1:19">
      <c r="A67" s="6">
        <f>FARM_DATA[[#This Row],[Date]]</f>
        <v>45448</v>
      </c>
      <c r="B67" s="5" t="str">
        <f>FARM_DATA[[#This Row],[Farmer_Type]]</f>
        <v>Traditional</v>
      </c>
      <c r="C67" s="8">
        <f>FARM_DATA[[#This Row],[Income]]</f>
        <v>266.52999999999997</v>
      </c>
      <c r="D67" s="8">
        <f>FARM_DATA[[#This Row],[Irrigation]]</f>
        <v>75.430000000000007</v>
      </c>
      <c r="E67" s="8">
        <f>FARM_DATA[[#This Row],[Seeds]]</f>
        <v>30.06</v>
      </c>
      <c r="F67" s="8">
        <f>FARM_DATA[[#This Row],[Fertilizer]]</f>
        <v>66.41</v>
      </c>
      <c r="G67" s="8">
        <f>FARM_DATA[[#This Row],[Labor]]</f>
        <v>90.92</v>
      </c>
      <c r="H67" s="8">
        <f>FARM_DATA[[#This Row],[Household]]</f>
        <v>95.85</v>
      </c>
      <c r="I67" s="8">
        <f>FARM_DATA[[#This Row],[Medical]]</f>
        <v>6.98</v>
      </c>
      <c r="J67" s="8">
        <f>FARM_DATA[[#This Row],[Misc]]</f>
        <v>30.58</v>
      </c>
      <c r="K67" s="8">
        <f>FARM_DATA[[#This Row],[Total_Expenses]]</f>
        <v>396.23</v>
      </c>
      <c r="L67" s="30">
        <f>FARM_DATA[[#This Row],[Savings]]</f>
        <v>-129.71</v>
      </c>
      <c r="M67" s="5" t="str">
        <f>TEXT(CLEAN_TABLE[[#This Row],[Date]], "mmm")</f>
        <v>Jun</v>
      </c>
      <c r="N67" s="5">
        <f>YEAR(CLEAN_TABLE[[#This Row],[Date]])</f>
        <v>2024</v>
      </c>
      <c r="O67" s="5">
        <f>IF(CLEAN_TABLE[[#This Row],[Farmer_Type]]="Smart",0,1)</f>
        <v>1</v>
      </c>
      <c r="P67" s="7">
        <f>IFERROR(CLEAN_TABLE[[#This Row],[Savings]]/CLEAN_TABLE[[#This Row],[Income]],0)</f>
        <v>-0.48666191423104349</v>
      </c>
      <c r="Q67" s="7">
        <f>IF(CLEAN_TABLE[[#This Row],[Farmer_Type]]="Smart", 1 - (CLEAN_TABLE[[#This Row],[Irrigation]] / 70), 1 - (CLEAN_TABLE[[#This Row],[Irrigation]] / 150))</f>
        <v>0.49713333333333332</v>
      </c>
      <c r="R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662.76</v>
      </c>
    </row>
    <row r="68" spans="1:19">
      <c r="A68" s="6">
        <f>FARM_DATA[[#This Row],[Date]]</f>
        <v>45449</v>
      </c>
      <c r="B68" s="5" t="str">
        <f>FARM_DATA[[#This Row],[Farmer_Type]]</f>
        <v>Smart</v>
      </c>
      <c r="C68" s="8">
        <f>FARM_DATA[[#This Row],[Income]]</f>
        <v>1001.94</v>
      </c>
      <c r="D68" s="8">
        <f>FARM_DATA[[#This Row],[Irrigation]]</f>
        <v>10.48</v>
      </c>
      <c r="E68" s="8">
        <f>FARM_DATA[[#This Row],[Seeds]]</f>
        <v>72.77</v>
      </c>
      <c r="F68" s="8">
        <f>FARM_DATA[[#This Row],[Fertilizer]]</f>
        <v>30.15</v>
      </c>
      <c r="G68" s="8">
        <f>FARM_DATA[[#This Row],[Labor]]</f>
        <v>93.68</v>
      </c>
      <c r="H68" s="8">
        <f>FARM_DATA[[#This Row],[Household]]</f>
        <v>127.61</v>
      </c>
      <c r="I68" s="8">
        <f>FARM_DATA[[#This Row],[Medical]]</f>
        <v>16.13</v>
      </c>
      <c r="J68" s="8">
        <f>FARM_DATA[[#This Row],[Misc]]</f>
        <v>40.71</v>
      </c>
      <c r="K68" s="8">
        <f>FARM_DATA[[#This Row],[Total_Expenses]]</f>
        <v>391.54</v>
      </c>
      <c r="L68" s="30">
        <f>FARM_DATA[[#This Row],[Savings]]</f>
        <v>610.4</v>
      </c>
      <c r="M68" s="5" t="str">
        <f>TEXT(CLEAN_TABLE[[#This Row],[Date]], "mmm")</f>
        <v>Jun</v>
      </c>
      <c r="N68" s="5">
        <f>YEAR(CLEAN_TABLE[[#This Row],[Date]])</f>
        <v>2024</v>
      </c>
      <c r="O68" s="5">
        <f>IF(CLEAN_TABLE[[#This Row],[Farmer_Type]]="Smart",0,1)</f>
        <v>0</v>
      </c>
      <c r="P68" s="7">
        <f>IFERROR(CLEAN_TABLE[[#This Row],[Savings]]/CLEAN_TABLE[[#This Row],[Income]],0)</f>
        <v>0.60921811685330451</v>
      </c>
      <c r="Q68" s="7">
        <f>IF(CLEAN_TABLE[[#This Row],[Farmer_Type]]="Smart", 1 - (CLEAN_TABLE[[#This Row],[Irrigation]] / 70), 1 - (CLEAN_TABLE[[#This Row],[Irrigation]] / 150))</f>
        <v>0.85028571428571431</v>
      </c>
      <c r="R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1393.4700000000003</v>
      </c>
    </row>
    <row r="69" spans="1:19">
      <c r="A69" s="6">
        <f>FARM_DATA[[#This Row],[Date]]</f>
        <v>45450</v>
      </c>
      <c r="B69" s="5" t="str">
        <f>FARM_DATA[[#This Row],[Farmer_Type]]</f>
        <v>Traditional</v>
      </c>
      <c r="C69" s="8">
        <f>FARM_DATA[[#This Row],[Income]]</f>
        <v>306.98</v>
      </c>
      <c r="D69" s="8">
        <f>FARM_DATA[[#This Row],[Irrigation]]</f>
        <v>66.150000000000006</v>
      </c>
      <c r="E69" s="8">
        <f>FARM_DATA[[#This Row],[Seeds]]</f>
        <v>55.09</v>
      </c>
      <c r="F69" s="8">
        <f>FARM_DATA[[#This Row],[Fertilizer]]</f>
        <v>43.46</v>
      </c>
      <c r="G69" s="8">
        <f>FARM_DATA[[#This Row],[Labor]]</f>
        <v>130.88999999999999</v>
      </c>
      <c r="H69" s="8">
        <f>FARM_DATA[[#This Row],[Household]]</f>
        <v>116.11</v>
      </c>
      <c r="I69" s="8">
        <f>FARM_DATA[[#This Row],[Medical]]</f>
        <v>24.24</v>
      </c>
      <c r="J69" s="8">
        <f>FARM_DATA[[#This Row],[Misc]]</f>
        <v>47.3</v>
      </c>
      <c r="K69" s="8">
        <f>FARM_DATA[[#This Row],[Total_Expenses]]</f>
        <v>483.25</v>
      </c>
      <c r="L69" s="30">
        <f>FARM_DATA[[#This Row],[Savings]]</f>
        <v>-176.27</v>
      </c>
      <c r="M69" s="5" t="str">
        <f>TEXT(CLEAN_TABLE[[#This Row],[Date]], "mmm")</f>
        <v>Jun</v>
      </c>
      <c r="N69" s="5">
        <f>YEAR(CLEAN_TABLE[[#This Row],[Date]])</f>
        <v>2024</v>
      </c>
      <c r="O69" s="5">
        <f>IF(CLEAN_TABLE[[#This Row],[Farmer_Type]]="Smart",0,1)</f>
        <v>1</v>
      </c>
      <c r="P69" s="7">
        <f>IFERROR(CLEAN_TABLE[[#This Row],[Savings]]/CLEAN_TABLE[[#This Row],[Income]],0)</f>
        <v>-0.57420678871587727</v>
      </c>
      <c r="Q69" s="7">
        <f>IF(CLEAN_TABLE[[#This Row],[Farmer_Type]]="Smart", 1 - (CLEAN_TABLE[[#This Row],[Irrigation]] / 70), 1 - (CLEAN_TABLE[[#This Row],[Irrigation]] / 150))</f>
        <v>0.55899999999999994</v>
      </c>
      <c r="R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790.21999999999991</v>
      </c>
    </row>
    <row r="70" spans="1:19">
      <c r="A70" s="6">
        <f>FARM_DATA[[#This Row],[Date]]</f>
        <v>45451</v>
      </c>
      <c r="B70" s="5" t="str">
        <f>FARM_DATA[[#This Row],[Farmer_Type]]</f>
        <v>Smart</v>
      </c>
      <c r="C70" s="8">
        <f>FARM_DATA[[#This Row],[Income]]</f>
        <v>455.67</v>
      </c>
      <c r="D70" s="8">
        <f>FARM_DATA[[#This Row],[Irrigation]]</f>
        <v>11.02</v>
      </c>
      <c r="E70" s="8">
        <f>FARM_DATA[[#This Row],[Seeds]]</f>
        <v>71.540000000000006</v>
      </c>
      <c r="F70" s="8">
        <f>FARM_DATA[[#This Row],[Fertilizer]]</f>
        <v>73.91</v>
      </c>
      <c r="G70" s="8">
        <f>FARM_DATA[[#This Row],[Labor]]</f>
        <v>102.42</v>
      </c>
      <c r="H70" s="8">
        <f>FARM_DATA[[#This Row],[Household]]</f>
        <v>148.86000000000001</v>
      </c>
      <c r="I70" s="8">
        <f>FARM_DATA[[#This Row],[Medical]]</f>
        <v>22.78</v>
      </c>
      <c r="J70" s="8">
        <f>FARM_DATA[[#This Row],[Misc]]</f>
        <v>37.659999999999997</v>
      </c>
      <c r="K70" s="8">
        <f>FARM_DATA[[#This Row],[Total_Expenses]]</f>
        <v>468.19</v>
      </c>
      <c r="L70" s="30">
        <f>FARM_DATA[[#This Row],[Savings]]</f>
        <v>-12.52</v>
      </c>
      <c r="M70" s="5" t="str">
        <f>TEXT(CLEAN_TABLE[[#This Row],[Date]], "mmm")</f>
        <v>Jun</v>
      </c>
      <c r="N70" s="5">
        <f>YEAR(CLEAN_TABLE[[#This Row],[Date]])</f>
        <v>2024</v>
      </c>
      <c r="O70" s="5">
        <f>IF(CLEAN_TABLE[[#This Row],[Farmer_Type]]="Smart",0,1)</f>
        <v>0</v>
      </c>
      <c r="P70" s="7">
        <f>IFERROR(CLEAN_TABLE[[#This Row],[Savings]]/CLEAN_TABLE[[#This Row],[Income]],0)</f>
        <v>-2.7476024315842604E-2</v>
      </c>
      <c r="Q70" s="7">
        <f>IF(CLEAN_TABLE[[#This Row],[Farmer_Type]]="Smart", 1 - (CLEAN_TABLE[[#This Row],[Irrigation]] / 70), 1 - (CLEAN_TABLE[[#This Row],[Irrigation]] / 150))</f>
        <v>0.84257142857142853</v>
      </c>
      <c r="R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923.8599999999999</v>
      </c>
    </row>
    <row r="71" spans="1:19">
      <c r="A71" s="6">
        <f>FARM_DATA[[#This Row],[Date]]</f>
        <v>45452</v>
      </c>
      <c r="B71" s="5" t="str">
        <f>FARM_DATA[[#This Row],[Farmer_Type]]</f>
        <v>Traditional</v>
      </c>
      <c r="C71" s="8">
        <f>FARM_DATA[[#This Row],[Income]]</f>
        <v>408.39</v>
      </c>
      <c r="D71" s="8">
        <f>FARM_DATA[[#This Row],[Irrigation]]</f>
        <v>72.540000000000006</v>
      </c>
      <c r="E71" s="8">
        <f>FARM_DATA[[#This Row],[Seeds]]</f>
        <v>45.06</v>
      </c>
      <c r="F71" s="8">
        <f>FARM_DATA[[#This Row],[Fertilizer]]</f>
        <v>46.76</v>
      </c>
      <c r="G71" s="8">
        <f>FARM_DATA[[#This Row],[Labor]]</f>
        <v>97.81</v>
      </c>
      <c r="H71" s="8">
        <f>FARM_DATA[[#This Row],[Household]]</f>
        <v>137.02000000000001</v>
      </c>
      <c r="I71" s="8">
        <f>FARM_DATA[[#This Row],[Medical]]</f>
        <v>23.16</v>
      </c>
      <c r="J71" s="8">
        <f>FARM_DATA[[#This Row],[Misc]]</f>
        <v>24.95</v>
      </c>
      <c r="K71" s="8">
        <f>FARM_DATA[[#This Row],[Total_Expenses]]</f>
        <v>447.31</v>
      </c>
      <c r="L71" s="30">
        <f>FARM_DATA[[#This Row],[Savings]]</f>
        <v>-38.92</v>
      </c>
      <c r="M71" s="5" t="str">
        <f>TEXT(CLEAN_TABLE[[#This Row],[Date]], "mmm")</f>
        <v>Jun</v>
      </c>
      <c r="N71" s="5">
        <f>YEAR(CLEAN_TABLE[[#This Row],[Date]])</f>
        <v>2024</v>
      </c>
      <c r="O71" s="5">
        <f>IF(CLEAN_TABLE[[#This Row],[Farmer_Type]]="Smart",0,1)</f>
        <v>1</v>
      </c>
      <c r="P71" s="7">
        <f>IFERROR(CLEAN_TABLE[[#This Row],[Savings]]/CLEAN_TABLE[[#This Row],[Income]],0)</f>
        <v>-9.5301060261025014E-2</v>
      </c>
      <c r="Q71" s="7">
        <f>IF(CLEAN_TABLE[[#This Row],[Farmer_Type]]="Smart", 1 - (CLEAN_TABLE[[#This Row],[Irrigation]] / 70), 1 - (CLEAN_TABLE[[#This Row],[Irrigation]] / 150))</f>
        <v>0.51639999999999997</v>
      </c>
      <c r="R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855.68999999999994</v>
      </c>
    </row>
    <row r="72" spans="1:19">
      <c r="A72" s="6">
        <f>FARM_DATA[[#This Row],[Date]]</f>
        <v>45453</v>
      </c>
      <c r="B72" s="5" t="str">
        <f>FARM_DATA[[#This Row],[Farmer_Type]]</f>
        <v>Traditional</v>
      </c>
      <c r="C72" s="8">
        <f>FARM_DATA[[#This Row],[Income]]</f>
        <v>364.49</v>
      </c>
      <c r="D72" s="8">
        <f>FARM_DATA[[#This Row],[Irrigation]]</f>
        <v>90.75</v>
      </c>
      <c r="E72" s="8">
        <f>FARM_DATA[[#This Row],[Seeds]]</f>
        <v>53.07</v>
      </c>
      <c r="F72" s="8">
        <f>FARM_DATA[[#This Row],[Fertilizer]]</f>
        <v>48.48</v>
      </c>
      <c r="G72" s="8">
        <f>FARM_DATA[[#This Row],[Labor]]</f>
        <v>140.03</v>
      </c>
      <c r="H72" s="8">
        <f>FARM_DATA[[#This Row],[Household]]</f>
        <v>137.76</v>
      </c>
      <c r="I72" s="8">
        <f>FARM_DATA[[#This Row],[Medical]]</f>
        <v>3.7</v>
      </c>
      <c r="J72" s="8">
        <f>FARM_DATA[[#This Row],[Misc]]</f>
        <v>17.899999999999999</v>
      </c>
      <c r="K72" s="8">
        <f>FARM_DATA[[#This Row],[Total_Expenses]]</f>
        <v>491.69</v>
      </c>
      <c r="L72" s="30">
        <f>FARM_DATA[[#This Row],[Savings]]</f>
        <v>-127.2</v>
      </c>
      <c r="M72" s="5" t="str">
        <f>TEXT(CLEAN_TABLE[[#This Row],[Date]], "mmm")</f>
        <v>Jun</v>
      </c>
      <c r="N72" s="5">
        <f>YEAR(CLEAN_TABLE[[#This Row],[Date]])</f>
        <v>2024</v>
      </c>
      <c r="O72" s="5">
        <f>IF(CLEAN_TABLE[[#This Row],[Farmer_Type]]="Smart",0,1)</f>
        <v>1</v>
      </c>
      <c r="P72" s="7">
        <f>IFERROR(CLEAN_TABLE[[#This Row],[Savings]]/CLEAN_TABLE[[#This Row],[Income]],0)</f>
        <v>-0.34898076764794644</v>
      </c>
      <c r="Q72" s="7">
        <f>IF(CLEAN_TABLE[[#This Row],[Farmer_Type]]="Smart", 1 - (CLEAN_TABLE[[#This Row],[Irrigation]] / 70), 1 - (CLEAN_TABLE[[#This Row],[Irrigation]] / 150))</f>
        <v>0.39500000000000002</v>
      </c>
      <c r="R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856.18</v>
      </c>
    </row>
    <row r="73" spans="1:19">
      <c r="A73" s="6">
        <f>FARM_DATA[[#This Row],[Date]]</f>
        <v>45454</v>
      </c>
      <c r="B73" s="5" t="str">
        <f>FARM_DATA[[#This Row],[Farmer_Type]]</f>
        <v>Traditional</v>
      </c>
      <c r="C73" s="8">
        <f>FARM_DATA[[#This Row],[Income]]</f>
        <v>256.45999999999998</v>
      </c>
      <c r="D73" s="8">
        <f>FARM_DATA[[#This Row],[Irrigation]]</f>
        <v>66.48</v>
      </c>
      <c r="E73" s="8">
        <f>FARM_DATA[[#This Row],[Seeds]]</f>
        <v>40.28</v>
      </c>
      <c r="F73" s="8">
        <f>FARM_DATA[[#This Row],[Fertilizer]]</f>
        <v>88.53</v>
      </c>
      <c r="G73" s="8">
        <f>FARM_DATA[[#This Row],[Labor]]</f>
        <v>118.17</v>
      </c>
      <c r="H73" s="8">
        <f>FARM_DATA[[#This Row],[Household]]</f>
        <v>143.43</v>
      </c>
      <c r="I73" s="8">
        <f>FARM_DATA[[#This Row],[Medical]]</f>
        <v>26.64</v>
      </c>
      <c r="J73" s="8">
        <f>FARM_DATA[[#This Row],[Misc]]</f>
        <v>3.47</v>
      </c>
      <c r="K73" s="8">
        <f>FARM_DATA[[#This Row],[Total_Expenses]]</f>
        <v>486.99</v>
      </c>
      <c r="L73" s="30">
        <f>FARM_DATA[[#This Row],[Savings]]</f>
        <v>-230.53</v>
      </c>
      <c r="M73" s="5" t="str">
        <f>TEXT(CLEAN_TABLE[[#This Row],[Date]], "mmm")</f>
        <v>Jun</v>
      </c>
      <c r="N73" s="5">
        <f>YEAR(CLEAN_TABLE[[#This Row],[Date]])</f>
        <v>2024</v>
      </c>
      <c r="O73" s="5">
        <f>IF(CLEAN_TABLE[[#This Row],[Farmer_Type]]="Smart",0,1)</f>
        <v>1</v>
      </c>
      <c r="P73" s="7">
        <f>IFERROR(CLEAN_TABLE[[#This Row],[Savings]]/CLEAN_TABLE[[#This Row],[Income]],0)</f>
        <v>-0.89889261483272254</v>
      </c>
      <c r="Q73" s="7">
        <f>IF(CLEAN_TABLE[[#This Row],[Farmer_Type]]="Smart", 1 - (CLEAN_TABLE[[#This Row],[Irrigation]] / 70), 1 - (CLEAN_TABLE[[#This Row],[Irrigation]] / 150))</f>
        <v>0.55679999999999996</v>
      </c>
      <c r="R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743.45999999999992</v>
      </c>
    </row>
    <row r="74" spans="1:19">
      <c r="A74" s="6">
        <f>FARM_DATA[[#This Row],[Date]]</f>
        <v>45455</v>
      </c>
      <c r="B74" s="5" t="str">
        <f>FARM_DATA[[#This Row],[Farmer_Type]]</f>
        <v>Smart</v>
      </c>
      <c r="C74" s="8">
        <f>FARM_DATA[[#This Row],[Income]]</f>
        <v>997.12</v>
      </c>
      <c r="D74" s="8">
        <f>FARM_DATA[[#This Row],[Irrigation]]</f>
        <v>18.850000000000001</v>
      </c>
      <c r="E74" s="8">
        <f>FARM_DATA[[#This Row],[Seeds]]</f>
        <v>30.43</v>
      </c>
      <c r="F74" s="8">
        <f>FARM_DATA[[#This Row],[Fertilizer]]</f>
        <v>114.31</v>
      </c>
      <c r="G74" s="8">
        <f>FARM_DATA[[#This Row],[Labor]]</f>
        <v>101.77</v>
      </c>
      <c r="H74" s="8">
        <f>FARM_DATA[[#This Row],[Household]]</f>
        <v>155.46</v>
      </c>
      <c r="I74" s="8">
        <f>FARM_DATA[[#This Row],[Medical]]</f>
        <v>27.7</v>
      </c>
      <c r="J74" s="8">
        <f>FARM_DATA[[#This Row],[Misc]]</f>
        <v>74.06</v>
      </c>
      <c r="K74" s="8">
        <f>FARM_DATA[[#This Row],[Total_Expenses]]</f>
        <v>522.59</v>
      </c>
      <c r="L74" s="30">
        <f>FARM_DATA[[#This Row],[Savings]]</f>
        <v>474.54</v>
      </c>
      <c r="M74" s="5" t="str">
        <f>TEXT(CLEAN_TABLE[[#This Row],[Date]], "mmm")</f>
        <v>Jun</v>
      </c>
      <c r="N74" s="5">
        <f>YEAR(CLEAN_TABLE[[#This Row],[Date]])</f>
        <v>2024</v>
      </c>
      <c r="O74" s="5">
        <f>IF(CLEAN_TABLE[[#This Row],[Farmer_Type]]="Smart",0,1)</f>
        <v>0</v>
      </c>
      <c r="P74" s="7">
        <f>IFERROR(CLEAN_TABLE[[#This Row],[Savings]]/CLEAN_TABLE[[#This Row],[Income]],0)</f>
        <v>0.47591062259306804</v>
      </c>
      <c r="Q74" s="7">
        <f>IF(CLEAN_TABLE[[#This Row],[Farmer_Type]]="Smart", 1 - (CLEAN_TABLE[[#This Row],[Irrigation]] / 70), 1 - (CLEAN_TABLE[[#This Row],[Irrigation]] / 150))</f>
        <v>0.73071428571428565</v>
      </c>
      <c r="R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1519.7</v>
      </c>
    </row>
    <row r="75" spans="1:19">
      <c r="A75" s="6">
        <f>FARM_DATA[[#This Row],[Date]]</f>
        <v>45456</v>
      </c>
      <c r="B75" s="5" t="str">
        <f>FARM_DATA[[#This Row],[Farmer_Type]]</f>
        <v>Smart</v>
      </c>
      <c r="C75" s="8">
        <f>FARM_DATA[[#This Row],[Income]]</f>
        <v>986.37</v>
      </c>
      <c r="D75" s="8">
        <f>FARM_DATA[[#This Row],[Irrigation]]</f>
        <v>16.239999999999998</v>
      </c>
      <c r="E75" s="8">
        <f>FARM_DATA[[#This Row],[Seeds]]</f>
        <v>50.81</v>
      </c>
      <c r="F75" s="8">
        <f>FARM_DATA[[#This Row],[Fertilizer]]</f>
        <v>54.5</v>
      </c>
      <c r="G75" s="8">
        <f>FARM_DATA[[#This Row],[Labor]]</f>
        <v>111.61</v>
      </c>
      <c r="H75" s="8">
        <f>FARM_DATA[[#This Row],[Household]]</f>
        <v>140.04</v>
      </c>
      <c r="I75" s="8">
        <f>FARM_DATA[[#This Row],[Medical]]</f>
        <v>22.64</v>
      </c>
      <c r="J75" s="8">
        <f>FARM_DATA[[#This Row],[Misc]]</f>
        <v>32.840000000000003</v>
      </c>
      <c r="K75" s="8">
        <f>FARM_DATA[[#This Row],[Total_Expenses]]</f>
        <v>428.68</v>
      </c>
      <c r="L75" s="30">
        <f>FARM_DATA[[#This Row],[Savings]]</f>
        <v>557.69000000000005</v>
      </c>
      <c r="M75" s="5" t="str">
        <f>TEXT(CLEAN_TABLE[[#This Row],[Date]], "mmm")</f>
        <v>Jun</v>
      </c>
      <c r="N75" s="5">
        <f>YEAR(CLEAN_TABLE[[#This Row],[Date]])</f>
        <v>2024</v>
      </c>
      <c r="O75" s="5">
        <f>IF(CLEAN_TABLE[[#This Row],[Farmer_Type]]="Smart",0,1)</f>
        <v>0</v>
      </c>
      <c r="P75" s="7">
        <f>IFERROR(CLEAN_TABLE[[#This Row],[Savings]]/CLEAN_TABLE[[#This Row],[Income]],0)</f>
        <v>0.56539635228159824</v>
      </c>
      <c r="Q75" s="7">
        <f>IF(CLEAN_TABLE[[#This Row],[Farmer_Type]]="Smart", 1 - (CLEAN_TABLE[[#This Row],[Irrigation]] / 70), 1 - (CLEAN_TABLE[[#This Row],[Irrigation]] / 150))</f>
        <v>0.76800000000000002</v>
      </c>
      <c r="R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1415.05</v>
      </c>
    </row>
    <row r="76" spans="1:19">
      <c r="A76" s="6">
        <f>FARM_DATA[[#This Row],[Date]]</f>
        <v>45457</v>
      </c>
      <c r="B76" s="5" t="str">
        <f>FARM_DATA[[#This Row],[Farmer_Type]]</f>
        <v>Smart</v>
      </c>
      <c r="C76" s="8">
        <f>FARM_DATA[[#This Row],[Income]]</f>
        <v>1045.8</v>
      </c>
      <c r="D76" s="8">
        <f>FARM_DATA[[#This Row],[Irrigation]]</f>
        <v>16.670000000000002</v>
      </c>
      <c r="E76" s="8">
        <f>FARM_DATA[[#This Row],[Seeds]]</f>
        <v>80.75</v>
      </c>
      <c r="F76" s="8">
        <f>FARM_DATA[[#This Row],[Fertilizer]]</f>
        <v>64.7</v>
      </c>
      <c r="G76" s="8">
        <f>FARM_DATA[[#This Row],[Labor]]</f>
        <v>89.6</v>
      </c>
      <c r="H76" s="8">
        <f>FARM_DATA[[#This Row],[Household]]</f>
        <v>135.74</v>
      </c>
      <c r="I76" s="8">
        <f>FARM_DATA[[#This Row],[Medical]]</f>
        <v>18</v>
      </c>
      <c r="J76" s="8">
        <f>FARM_DATA[[#This Row],[Misc]]</f>
        <v>45.66</v>
      </c>
      <c r="K76" s="8">
        <f>FARM_DATA[[#This Row],[Total_Expenses]]</f>
        <v>451.13</v>
      </c>
      <c r="L76" s="30">
        <f>FARM_DATA[[#This Row],[Savings]]</f>
        <v>594.66999999999996</v>
      </c>
      <c r="M76" s="5" t="str">
        <f>TEXT(CLEAN_TABLE[[#This Row],[Date]], "mmm")</f>
        <v>Jun</v>
      </c>
      <c r="N76" s="5">
        <f>YEAR(CLEAN_TABLE[[#This Row],[Date]])</f>
        <v>2024</v>
      </c>
      <c r="O76" s="5">
        <f>IF(CLEAN_TABLE[[#This Row],[Farmer_Type]]="Smart",0,1)</f>
        <v>0</v>
      </c>
      <c r="P76" s="7">
        <f>IFERROR(CLEAN_TABLE[[#This Row],[Savings]]/CLEAN_TABLE[[#This Row],[Income]],0)</f>
        <v>0.56862688850640652</v>
      </c>
      <c r="Q76" s="7">
        <f>IF(CLEAN_TABLE[[#This Row],[Farmer_Type]]="Smart", 1 - (CLEAN_TABLE[[#This Row],[Irrigation]] / 70), 1 - (CLEAN_TABLE[[#This Row],[Irrigation]] / 150))</f>
        <v>0.76185714285714279</v>
      </c>
      <c r="R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1496.92</v>
      </c>
    </row>
    <row r="77" spans="1:19">
      <c r="A77" s="6">
        <f>FARM_DATA[[#This Row],[Date]]</f>
        <v>45458</v>
      </c>
      <c r="B77" s="5" t="str">
        <f>FARM_DATA[[#This Row],[Farmer_Type]]</f>
        <v>Smart</v>
      </c>
      <c r="C77" s="8">
        <f>FARM_DATA[[#This Row],[Income]]</f>
        <v>1101.4000000000001</v>
      </c>
      <c r="D77" s="8">
        <f>FARM_DATA[[#This Row],[Irrigation]]</f>
        <v>10.39</v>
      </c>
      <c r="E77" s="8">
        <f>FARM_DATA[[#This Row],[Seeds]]</f>
        <v>77.39</v>
      </c>
      <c r="F77" s="8">
        <f>FARM_DATA[[#This Row],[Fertilizer]]</f>
        <v>120.67</v>
      </c>
      <c r="G77" s="8">
        <f>FARM_DATA[[#This Row],[Labor]]</f>
        <v>103.27</v>
      </c>
      <c r="H77" s="8">
        <f>FARM_DATA[[#This Row],[Household]]</f>
        <v>235.69</v>
      </c>
      <c r="I77" s="8">
        <f>FARM_DATA[[#This Row],[Medical]]</f>
        <v>15.04</v>
      </c>
      <c r="J77" s="8">
        <f>FARM_DATA[[#This Row],[Misc]]</f>
        <v>21.33</v>
      </c>
      <c r="K77" s="8">
        <f>FARM_DATA[[#This Row],[Total_Expenses]]</f>
        <v>583.77</v>
      </c>
      <c r="L77" s="30">
        <f>FARM_DATA[[#This Row],[Savings]]</f>
        <v>517.62</v>
      </c>
      <c r="M77" s="5" t="str">
        <f>TEXT(CLEAN_TABLE[[#This Row],[Date]], "mmm")</f>
        <v>Jun</v>
      </c>
      <c r="N77" s="5">
        <f>YEAR(CLEAN_TABLE[[#This Row],[Date]])</f>
        <v>2024</v>
      </c>
      <c r="O77" s="5">
        <f>IF(CLEAN_TABLE[[#This Row],[Farmer_Type]]="Smart",0,1)</f>
        <v>0</v>
      </c>
      <c r="P77" s="7">
        <f>IFERROR(CLEAN_TABLE[[#This Row],[Savings]]/CLEAN_TABLE[[#This Row],[Income]],0)</f>
        <v>0.46996549845650987</v>
      </c>
      <c r="Q77" s="7">
        <f>IF(CLEAN_TABLE[[#This Row],[Farmer_Type]]="Smart", 1 - (CLEAN_TABLE[[#This Row],[Irrigation]] / 70), 1 - (CLEAN_TABLE[[#This Row],[Irrigation]] / 150))</f>
        <v>0.85157142857142853</v>
      </c>
      <c r="R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1685.1800000000003</v>
      </c>
    </row>
    <row r="78" spans="1:19">
      <c r="A78" s="6">
        <f>FARM_DATA[[#This Row],[Date]]</f>
        <v>45459</v>
      </c>
      <c r="B78" s="5" t="str">
        <f>FARM_DATA[[#This Row],[Farmer_Type]]</f>
        <v>Smart</v>
      </c>
      <c r="C78" s="8">
        <f>FARM_DATA[[#This Row],[Income]]</f>
        <v>594.26</v>
      </c>
      <c r="D78" s="8">
        <f>FARM_DATA[[#This Row],[Irrigation]]</f>
        <v>22.48</v>
      </c>
      <c r="E78" s="8">
        <f>FARM_DATA[[#This Row],[Seeds]]</f>
        <v>73.09</v>
      </c>
      <c r="F78" s="8">
        <f>FARM_DATA[[#This Row],[Fertilizer]]</f>
        <v>78.33</v>
      </c>
      <c r="G78" s="8">
        <f>FARM_DATA[[#This Row],[Labor]]</f>
        <v>100.6</v>
      </c>
      <c r="H78" s="8">
        <f>FARM_DATA[[#This Row],[Household]]</f>
        <v>130.61000000000001</v>
      </c>
      <c r="I78" s="8">
        <f>FARM_DATA[[#This Row],[Medical]]</f>
        <v>44.01</v>
      </c>
      <c r="J78" s="8">
        <f>FARM_DATA[[#This Row],[Misc]]</f>
        <v>41.94</v>
      </c>
      <c r="K78" s="8">
        <f>FARM_DATA[[#This Row],[Total_Expenses]]</f>
        <v>491.06</v>
      </c>
      <c r="L78" s="30">
        <f>FARM_DATA[[#This Row],[Savings]]</f>
        <v>103.2</v>
      </c>
      <c r="M78" s="5" t="str">
        <f>TEXT(CLEAN_TABLE[[#This Row],[Date]], "mmm")</f>
        <v>Jun</v>
      </c>
      <c r="N78" s="5">
        <f>YEAR(CLEAN_TABLE[[#This Row],[Date]])</f>
        <v>2024</v>
      </c>
      <c r="O78" s="5">
        <f>IF(CLEAN_TABLE[[#This Row],[Farmer_Type]]="Smart",0,1)</f>
        <v>0</v>
      </c>
      <c r="P78" s="7">
        <f>IFERROR(CLEAN_TABLE[[#This Row],[Savings]]/CLEAN_TABLE[[#This Row],[Income]],0)</f>
        <v>0.17366136034732274</v>
      </c>
      <c r="Q78" s="7">
        <f>IF(CLEAN_TABLE[[#This Row],[Farmer_Type]]="Smart", 1 - (CLEAN_TABLE[[#This Row],[Irrigation]] / 70), 1 - (CLEAN_TABLE[[#This Row],[Irrigation]] / 150))</f>
        <v>0.67885714285714283</v>
      </c>
      <c r="R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1085.3200000000002</v>
      </c>
    </row>
    <row r="79" spans="1:19">
      <c r="A79" s="6">
        <f>FARM_DATA[[#This Row],[Date]]</f>
        <v>45460</v>
      </c>
      <c r="B79" s="5" t="str">
        <f>FARM_DATA[[#This Row],[Farmer_Type]]</f>
        <v>Smart</v>
      </c>
      <c r="C79" s="8">
        <f>FARM_DATA[[#This Row],[Income]]</f>
        <v>971.88</v>
      </c>
      <c r="D79" s="8">
        <f>FARM_DATA[[#This Row],[Irrigation]]</f>
        <v>18.63</v>
      </c>
      <c r="E79" s="8">
        <f>FARM_DATA[[#This Row],[Seeds]]</f>
        <v>69.62</v>
      </c>
      <c r="F79" s="8">
        <f>FARM_DATA[[#This Row],[Fertilizer]]</f>
        <v>86.72</v>
      </c>
      <c r="G79" s="8">
        <f>FARM_DATA[[#This Row],[Labor]]</f>
        <v>79.19</v>
      </c>
      <c r="H79" s="8">
        <f>FARM_DATA[[#This Row],[Household]]</f>
        <v>186.5</v>
      </c>
      <c r="I79" s="8">
        <f>FARM_DATA[[#This Row],[Medical]]</f>
        <v>38.94</v>
      </c>
      <c r="J79" s="8">
        <f>FARM_DATA[[#This Row],[Misc]]</f>
        <v>60.18</v>
      </c>
      <c r="K79" s="8">
        <f>FARM_DATA[[#This Row],[Total_Expenses]]</f>
        <v>539.78</v>
      </c>
      <c r="L79" s="30">
        <f>FARM_DATA[[#This Row],[Savings]]</f>
        <v>432.1</v>
      </c>
      <c r="M79" s="5" t="str">
        <f>TEXT(CLEAN_TABLE[[#This Row],[Date]], "mmm")</f>
        <v>Jun</v>
      </c>
      <c r="N79" s="5">
        <f>YEAR(CLEAN_TABLE[[#This Row],[Date]])</f>
        <v>2024</v>
      </c>
      <c r="O79" s="5">
        <f>IF(CLEAN_TABLE[[#This Row],[Farmer_Type]]="Smart",0,1)</f>
        <v>0</v>
      </c>
      <c r="P79" s="7">
        <f>IFERROR(CLEAN_TABLE[[#This Row],[Savings]]/CLEAN_TABLE[[#This Row],[Income]],0)</f>
        <v>0.44460221426513563</v>
      </c>
      <c r="Q79" s="7">
        <f>IF(CLEAN_TABLE[[#This Row],[Farmer_Type]]="Smart", 1 - (CLEAN_TABLE[[#This Row],[Irrigation]] / 70), 1 - (CLEAN_TABLE[[#This Row],[Irrigation]] / 150))</f>
        <v>0.73385714285714287</v>
      </c>
      <c r="R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1511.6600000000003</v>
      </c>
    </row>
    <row r="80" spans="1:19">
      <c r="A80" s="6">
        <f>FARM_DATA[[#This Row],[Date]]</f>
        <v>45461</v>
      </c>
      <c r="B80" s="5" t="str">
        <f>FARM_DATA[[#This Row],[Farmer_Type]]</f>
        <v>Traditional</v>
      </c>
      <c r="C80" s="8">
        <f>FARM_DATA[[#This Row],[Income]]</f>
        <v>429.66</v>
      </c>
      <c r="D80" s="8">
        <f>FARM_DATA[[#This Row],[Irrigation]]</f>
        <v>64.89</v>
      </c>
      <c r="E80" s="8">
        <f>FARM_DATA[[#This Row],[Seeds]]</f>
        <v>25.16</v>
      </c>
      <c r="F80" s="8">
        <f>FARM_DATA[[#This Row],[Fertilizer]]</f>
        <v>52.48</v>
      </c>
      <c r="G80" s="8">
        <f>FARM_DATA[[#This Row],[Labor]]</f>
        <v>111.39</v>
      </c>
      <c r="H80" s="8">
        <f>FARM_DATA[[#This Row],[Household]]</f>
        <v>182.83</v>
      </c>
      <c r="I80" s="8">
        <f>FARM_DATA[[#This Row],[Medical]]</f>
        <v>6.46</v>
      </c>
      <c r="J80" s="8">
        <f>FARM_DATA[[#This Row],[Misc]]</f>
        <v>48.35</v>
      </c>
      <c r="K80" s="8">
        <f>FARM_DATA[[#This Row],[Total_Expenses]]</f>
        <v>491.56</v>
      </c>
      <c r="L80" s="30">
        <f>FARM_DATA[[#This Row],[Savings]]</f>
        <v>-61.9</v>
      </c>
      <c r="M80" s="5" t="str">
        <f>TEXT(CLEAN_TABLE[[#This Row],[Date]], "mmm")</f>
        <v>Jun</v>
      </c>
      <c r="N80" s="5">
        <f>YEAR(CLEAN_TABLE[[#This Row],[Date]])</f>
        <v>2024</v>
      </c>
      <c r="O80" s="5">
        <f>IF(CLEAN_TABLE[[#This Row],[Farmer_Type]]="Smart",0,1)</f>
        <v>1</v>
      </c>
      <c r="P80" s="7">
        <f>IFERROR(CLEAN_TABLE[[#This Row],[Savings]]/CLEAN_TABLE[[#This Row],[Income]],0)</f>
        <v>-0.14406740213191824</v>
      </c>
      <c r="Q80" s="7">
        <f>IF(CLEAN_TABLE[[#This Row],[Farmer_Type]]="Smart", 1 - (CLEAN_TABLE[[#This Row],[Irrigation]] / 70), 1 - (CLEAN_TABLE[[#This Row],[Irrigation]] / 150))</f>
        <v>0.56740000000000002</v>
      </c>
      <c r="R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921.22000000000014</v>
      </c>
    </row>
    <row r="81" spans="1:19">
      <c r="A81" s="6">
        <f>FARM_DATA[[#This Row],[Date]]</f>
        <v>45462</v>
      </c>
      <c r="B81" s="5" t="str">
        <f>FARM_DATA[[#This Row],[Farmer_Type]]</f>
        <v>Traditional</v>
      </c>
      <c r="C81" s="8">
        <f>FARM_DATA[[#This Row],[Income]]</f>
        <v>342.1</v>
      </c>
      <c r="D81" s="8">
        <f>FARM_DATA[[#This Row],[Irrigation]]</f>
        <v>65.73</v>
      </c>
      <c r="E81" s="8">
        <f>FARM_DATA[[#This Row],[Seeds]]</f>
        <v>24.82</v>
      </c>
      <c r="F81" s="8">
        <f>FARM_DATA[[#This Row],[Fertilizer]]</f>
        <v>21.9</v>
      </c>
      <c r="G81" s="8">
        <f>FARM_DATA[[#This Row],[Labor]]</f>
        <v>130.58000000000001</v>
      </c>
      <c r="H81" s="8">
        <f>FARM_DATA[[#This Row],[Household]]</f>
        <v>152.19999999999999</v>
      </c>
      <c r="I81" s="8">
        <f>FARM_DATA[[#This Row],[Medical]]</f>
        <v>9.68</v>
      </c>
      <c r="J81" s="8">
        <f>FARM_DATA[[#This Row],[Misc]]</f>
        <v>14.46</v>
      </c>
      <c r="K81" s="8">
        <f>FARM_DATA[[#This Row],[Total_Expenses]]</f>
        <v>419.37</v>
      </c>
      <c r="L81" s="30">
        <f>FARM_DATA[[#This Row],[Savings]]</f>
        <v>-77.27</v>
      </c>
      <c r="M81" s="5" t="str">
        <f>TEXT(CLEAN_TABLE[[#This Row],[Date]], "mmm")</f>
        <v>Jun</v>
      </c>
      <c r="N81" s="5">
        <f>YEAR(CLEAN_TABLE[[#This Row],[Date]])</f>
        <v>2024</v>
      </c>
      <c r="O81" s="5">
        <f>IF(CLEAN_TABLE[[#This Row],[Farmer_Type]]="Smart",0,1)</f>
        <v>1</v>
      </c>
      <c r="P81" s="7">
        <f>IFERROR(CLEAN_TABLE[[#This Row],[Savings]]/CLEAN_TABLE[[#This Row],[Income]],0)</f>
        <v>-0.2258696287635194</v>
      </c>
      <c r="Q81" s="7">
        <f>IF(CLEAN_TABLE[[#This Row],[Farmer_Type]]="Smart", 1 - (CLEAN_TABLE[[#This Row],[Irrigation]] / 70), 1 - (CLEAN_TABLE[[#This Row],[Irrigation]] / 150))</f>
        <v>0.56179999999999997</v>
      </c>
      <c r="R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761.46999999999991</v>
      </c>
    </row>
    <row r="82" spans="1:19">
      <c r="A82" s="6">
        <f>FARM_DATA[[#This Row],[Date]]</f>
        <v>45463</v>
      </c>
      <c r="B82" s="5" t="str">
        <f>FARM_DATA[[#This Row],[Farmer_Type]]</f>
        <v>Smart</v>
      </c>
      <c r="C82" s="8">
        <f>FARM_DATA[[#This Row],[Income]]</f>
        <v>882.84</v>
      </c>
      <c r="D82" s="8">
        <f>FARM_DATA[[#This Row],[Irrigation]]</f>
        <v>23.35</v>
      </c>
      <c r="E82" s="8">
        <f>FARM_DATA[[#This Row],[Seeds]]</f>
        <v>54.81</v>
      </c>
      <c r="F82" s="8">
        <f>FARM_DATA[[#This Row],[Fertilizer]]</f>
        <v>34.909999999999997</v>
      </c>
      <c r="G82" s="8">
        <f>FARM_DATA[[#This Row],[Labor]]</f>
        <v>90.09</v>
      </c>
      <c r="H82" s="8">
        <f>FARM_DATA[[#This Row],[Household]]</f>
        <v>160.44999999999999</v>
      </c>
      <c r="I82" s="8">
        <f>FARM_DATA[[#This Row],[Medical]]</f>
        <v>-2.27</v>
      </c>
      <c r="J82" s="8">
        <f>FARM_DATA[[#This Row],[Misc]]</f>
        <v>39.19</v>
      </c>
      <c r="K82" s="8">
        <f>FARM_DATA[[#This Row],[Total_Expenses]]</f>
        <v>400.51</v>
      </c>
      <c r="L82" s="30">
        <f>FARM_DATA[[#This Row],[Savings]]</f>
        <v>482.33</v>
      </c>
      <c r="M82" s="5" t="str">
        <f>TEXT(CLEAN_TABLE[[#This Row],[Date]], "mmm")</f>
        <v>Jun</v>
      </c>
      <c r="N82" s="5">
        <f>YEAR(CLEAN_TABLE[[#This Row],[Date]])</f>
        <v>2024</v>
      </c>
      <c r="O82" s="5">
        <f>IF(CLEAN_TABLE[[#This Row],[Farmer_Type]]="Smart",0,1)</f>
        <v>0</v>
      </c>
      <c r="P82" s="7">
        <f>IFERROR(CLEAN_TABLE[[#This Row],[Savings]]/CLEAN_TABLE[[#This Row],[Income]],0)</f>
        <v>0.54633908749037197</v>
      </c>
      <c r="Q82" s="7">
        <f>IF(CLEAN_TABLE[[#This Row],[Farmer_Type]]="Smart", 1 - (CLEAN_TABLE[[#This Row],[Irrigation]] / 70), 1 - (CLEAN_TABLE[[#This Row],[Irrigation]] / 150))</f>
        <v>0.66642857142857137</v>
      </c>
      <c r="R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1283.3700000000001</v>
      </c>
    </row>
    <row r="83" spans="1:19">
      <c r="A83" s="6">
        <f>FARM_DATA[[#This Row],[Date]]</f>
        <v>45464</v>
      </c>
      <c r="B83" s="5" t="str">
        <f>FARM_DATA[[#This Row],[Farmer_Type]]</f>
        <v>Smart</v>
      </c>
      <c r="C83" s="8">
        <f>FARM_DATA[[#This Row],[Income]]</f>
        <v>903.81</v>
      </c>
      <c r="D83" s="8">
        <f>FARM_DATA[[#This Row],[Irrigation]]</f>
        <v>18.48</v>
      </c>
      <c r="E83" s="8">
        <f>FARM_DATA[[#This Row],[Seeds]]</f>
        <v>96.98</v>
      </c>
      <c r="F83" s="8">
        <f>FARM_DATA[[#This Row],[Fertilizer]]</f>
        <v>113.8</v>
      </c>
      <c r="G83" s="8">
        <f>FARM_DATA[[#This Row],[Labor]]</f>
        <v>89.62</v>
      </c>
      <c r="H83" s="8">
        <f>FARM_DATA[[#This Row],[Household]]</f>
        <v>131.27000000000001</v>
      </c>
      <c r="I83" s="8">
        <f>FARM_DATA[[#This Row],[Medical]]</f>
        <v>45.16</v>
      </c>
      <c r="J83" s="8">
        <f>FARM_DATA[[#This Row],[Misc]]</f>
        <v>40.89</v>
      </c>
      <c r="K83" s="8">
        <f>FARM_DATA[[#This Row],[Total_Expenses]]</f>
        <v>536.20000000000005</v>
      </c>
      <c r="L83" s="30">
        <f>FARM_DATA[[#This Row],[Savings]]</f>
        <v>367.61</v>
      </c>
      <c r="M83" s="5" t="str">
        <f>TEXT(CLEAN_TABLE[[#This Row],[Date]], "mmm")</f>
        <v>Jun</v>
      </c>
      <c r="N83" s="5">
        <f>YEAR(CLEAN_TABLE[[#This Row],[Date]])</f>
        <v>2024</v>
      </c>
      <c r="O83" s="5">
        <f>IF(CLEAN_TABLE[[#This Row],[Farmer_Type]]="Smart",0,1)</f>
        <v>0</v>
      </c>
      <c r="P83" s="7">
        <f>IFERROR(CLEAN_TABLE[[#This Row],[Savings]]/CLEAN_TABLE[[#This Row],[Income]],0)</f>
        <v>0.40673371615715698</v>
      </c>
      <c r="Q83" s="7">
        <f>IF(CLEAN_TABLE[[#This Row],[Farmer_Type]]="Smart", 1 - (CLEAN_TABLE[[#This Row],[Irrigation]] / 70), 1 - (CLEAN_TABLE[[#This Row],[Irrigation]] / 150))</f>
        <v>0.73599999999999999</v>
      </c>
      <c r="R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1440.0100000000002</v>
      </c>
    </row>
    <row r="84" spans="1:19">
      <c r="A84" s="6">
        <f>FARM_DATA[[#This Row],[Date]]</f>
        <v>45465</v>
      </c>
      <c r="B84" s="5" t="str">
        <f>FARM_DATA[[#This Row],[Farmer_Type]]</f>
        <v>Smart</v>
      </c>
      <c r="C84" s="8">
        <f>FARM_DATA[[#This Row],[Income]]</f>
        <v>952.79</v>
      </c>
      <c r="D84" s="8">
        <f>FARM_DATA[[#This Row],[Irrigation]]</f>
        <v>14.88</v>
      </c>
      <c r="E84" s="8">
        <f>FARM_DATA[[#This Row],[Seeds]]</f>
        <v>63.96</v>
      </c>
      <c r="F84" s="8">
        <f>FARM_DATA[[#This Row],[Fertilizer]]</f>
        <v>75.67</v>
      </c>
      <c r="G84" s="8">
        <f>FARM_DATA[[#This Row],[Labor]]</f>
        <v>83.53</v>
      </c>
      <c r="H84" s="8">
        <f>FARM_DATA[[#This Row],[Household]]</f>
        <v>150.86000000000001</v>
      </c>
      <c r="I84" s="8">
        <f>FARM_DATA[[#This Row],[Medical]]</f>
        <v>21.71</v>
      </c>
      <c r="J84" s="8">
        <f>FARM_DATA[[#This Row],[Misc]]</f>
        <v>31.85</v>
      </c>
      <c r="K84" s="8">
        <f>FARM_DATA[[#This Row],[Total_Expenses]]</f>
        <v>442.45</v>
      </c>
      <c r="L84" s="30">
        <f>FARM_DATA[[#This Row],[Savings]]</f>
        <v>510.34</v>
      </c>
      <c r="M84" s="5" t="str">
        <f>TEXT(CLEAN_TABLE[[#This Row],[Date]], "mmm")</f>
        <v>Jun</v>
      </c>
      <c r="N84" s="5">
        <f>YEAR(CLEAN_TABLE[[#This Row],[Date]])</f>
        <v>2024</v>
      </c>
      <c r="O84" s="5">
        <f>IF(CLEAN_TABLE[[#This Row],[Farmer_Type]]="Smart",0,1)</f>
        <v>0</v>
      </c>
      <c r="P84" s="7">
        <f>IFERROR(CLEAN_TABLE[[#This Row],[Savings]]/CLEAN_TABLE[[#This Row],[Income]],0)</f>
        <v>0.53562694822573709</v>
      </c>
      <c r="Q84" s="7">
        <f>IF(CLEAN_TABLE[[#This Row],[Farmer_Type]]="Smart", 1 - (CLEAN_TABLE[[#This Row],[Irrigation]] / 70), 1 - (CLEAN_TABLE[[#This Row],[Irrigation]] / 150))</f>
        <v>0.78742857142857137</v>
      </c>
      <c r="R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1395.25</v>
      </c>
    </row>
    <row r="85" spans="1:19">
      <c r="A85" s="6">
        <f>FARM_DATA[[#This Row],[Date]]</f>
        <v>45466</v>
      </c>
      <c r="B85" s="5" t="str">
        <f>FARM_DATA[[#This Row],[Farmer_Type]]</f>
        <v>Smart</v>
      </c>
      <c r="C85" s="8">
        <f>FARM_DATA[[#This Row],[Income]]</f>
        <v>807.43</v>
      </c>
      <c r="D85" s="8">
        <f>FARM_DATA[[#This Row],[Irrigation]]</f>
        <v>15.53</v>
      </c>
      <c r="E85" s="8">
        <f>FARM_DATA[[#This Row],[Seeds]]</f>
        <v>54.9</v>
      </c>
      <c r="F85" s="8">
        <f>FARM_DATA[[#This Row],[Fertilizer]]</f>
        <v>125.12</v>
      </c>
      <c r="G85" s="8">
        <f>FARM_DATA[[#This Row],[Labor]]</f>
        <v>41.98</v>
      </c>
      <c r="H85" s="8">
        <f>FARM_DATA[[#This Row],[Household]]</f>
        <v>208.2</v>
      </c>
      <c r="I85" s="8">
        <f>FARM_DATA[[#This Row],[Medical]]</f>
        <v>33.21</v>
      </c>
      <c r="J85" s="8">
        <f>FARM_DATA[[#This Row],[Misc]]</f>
        <v>8.9</v>
      </c>
      <c r="K85" s="8">
        <f>FARM_DATA[[#This Row],[Total_Expenses]]</f>
        <v>487.85</v>
      </c>
      <c r="L85" s="30">
        <f>FARM_DATA[[#This Row],[Savings]]</f>
        <v>319.58</v>
      </c>
      <c r="M85" s="5" t="str">
        <f>TEXT(CLEAN_TABLE[[#This Row],[Date]], "mmm")</f>
        <v>Jun</v>
      </c>
      <c r="N85" s="5">
        <f>YEAR(CLEAN_TABLE[[#This Row],[Date]])</f>
        <v>2024</v>
      </c>
      <c r="O85" s="5">
        <f>IF(CLEAN_TABLE[[#This Row],[Farmer_Type]]="Smart",0,1)</f>
        <v>0</v>
      </c>
      <c r="P85" s="7">
        <f>IFERROR(CLEAN_TABLE[[#This Row],[Savings]]/CLEAN_TABLE[[#This Row],[Income]],0)</f>
        <v>0.39579901663302081</v>
      </c>
      <c r="Q85" s="7">
        <f>IF(CLEAN_TABLE[[#This Row],[Farmer_Type]]="Smart", 1 - (CLEAN_TABLE[[#This Row],[Irrigation]] / 70), 1 - (CLEAN_TABLE[[#This Row],[Irrigation]] / 150))</f>
        <v>0.77814285714285714</v>
      </c>
      <c r="R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1295.27</v>
      </c>
    </row>
    <row r="86" spans="1:19">
      <c r="A86" s="6">
        <f>FARM_DATA[[#This Row],[Date]]</f>
        <v>45467</v>
      </c>
      <c r="B86" s="5" t="str">
        <f>FARM_DATA[[#This Row],[Farmer_Type]]</f>
        <v>Smart</v>
      </c>
      <c r="C86" s="8">
        <f>FARM_DATA[[#This Row],[Income]]</f>
        <v>881.46</v>
      </c>
      <c r="D86" s="8">
        <f>FARM_DATA[[#This Row],[Irrigation]]</f>
        <v>13.14</v>
      </c>
      <c r="E86" s="8">
        <f>FARM_DATA[[#This Row],[Seeds]]</f>
        <v>31.85</v>
      </c>
      <c r="F86" s="8">
        <f>FARM_DATA[[#This Row],[Fertilizer]]</f>
        <v>56.67</v>
      </c>
      <c r="G86" s="8">
        <f>FARM_DATA[[#This Row],[Labor]]</f>
        <v>72.790000000000006</v>
      </c>
      <c r="H86" s="8">
        <f>FARM_DATA[[#This Row],[Household]]</f>
        <v>231.33</v>
      </c>
      <c r="I86" s="8">
        <f>FARM_DATA[[#This Row],[Medical]]</f>
        <v>30.42</v>
      </c>
      <c r="J86" s="8">
        <f>FARM_DATA[[#This Row],[Misc]]</f>
        <v>59.07</v>
      </c>
      <c r="K86" s="8">
        <f>FARM_DATA[[#This Row],[Total_Expenses]]</f>
        <v>495.27</v>
      </c>
      <c r="L86" s="30">
        <f>FARM_DATA[[#This Row],[Savings]]</f>
        <v>386.19</v>
      </c>
      <c r="M86" s="5" t="str">
        <f>TEXT(CLEAN_TABLE[[#This Row],[Date]], "mmm")</f>
        <v>Jun</v>
      </c>
      <c r="N86" s="5">
        <f>YEAR(CLEAN_TABLE[[#This Row],[Date]])</f>
        <v>2024</v>
      </c>
      <c r="O86" s="5">
        <f>IF(CLEAN_TABLE[[#This Row],[Farmer_Type]]="Smart",0,1)</f>
        <v>0</v>
      </c>
      <c r="P86" s="7">
        <f>IFERROR(CLEAN_TABLE[[#This Row],[Savings]]/CLEAN_TABLE[[#This Row],[Income]],0)</f>
        <v>0.4381253828874821</v>
      </c>
      <c r="Q86" s="7">
        <f>IF(CLEAN_TABLE[[#This Row],[Farmer_Type]]="Smart", 1 - (CLEAN_TABLE[[#This Row],[Irrigation]] / 70), 1 - (CLEAN_TABLE[[#This Row],[Irrigation]] / 150))</f>
        <v>0.81228571428571428</v>
      </c>
      <c r="R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1376.73</v>
      </c>
    </row>
    <row r="87" spans="1:19">
      <c r="A87" s="6">
        <f>FARM_DATA[[#This Row],[Date]]</f>
        <v>45468</v>
      </c>
      <c r="B87" s="5" t="str">
        <f>FARM_DATA[[#This Row],[Farmer_Type]]</f>
        <v>Traditional</v>
      </c>
      <c r="C87" s="8">
        <f>FARM_DATA[[#This Row],[Income]]</f>
        <v>386.08</v>
      </c>
      <c r="D87" s="8">
        <f>FARM_DATA[[#This Row],[Irrigation]]</f>
        <v>58.71</v>
      </c>
      <c r="E87" s="8">
        <f>FARM_DATA[[#This Row],[Seeds]]</f>
        <v>32.130000000000003</v>
      </c>
      <c r="F87" s="8">
        <f>FARM_DATA[[#This Row],[Fertilizer]]</f>
        <v>64.790000000000006</v>
      </c>
      <c r="G87" s="8">
        <f>FARM_DATA[[#This Row],[Labor]]</f>
        <v>79.45</v>
      </c>
      <c r="H87" s="8">
        <f>FARM_DATA[[#This Row],[Household]]</f>
        <v>171.39</v>
      </c>
      <c r="I87" s="8">
        <f>FARM_DATA[[#This Row],[Medical]]</f>
        <v>18.079999999999998</v>
      </c>
      <c r="J87" s="8">
        <f>FARM_DATA[[#This Row],[Misc]]</f>
        <v>25.5</v>
      </c>
      <c r="K87" s="8">
        <f>FARM_DATA[[#This Row],[Total_Expenses]]</f>
        <v>450.05</v>
      </c>
      <c r="L87" s="30">
        <f>FARM_DATA[[#This Row],[Savings]]</f>
        <v>-63.96</v>
      </c>
      <c r="M87" s="5" t="str">
        <f>TEXT(CLEAN_TABLE[[#This Row],[Date]], "mmm")</f>
        <v>Jun</v>
      </c>
      <c r="N87" s="5">
        <f>YEAR(CLEAN_TABLE[[#This Row],[Date]])</f>
        <v>2024</v>
      </c>
      <c r="O87" s="5">
        <f>IF(CLEAN_TABLE[[#This Row],[Farmer_Type]]="Smart",0,1)</f>
        <v>1</v>
      </c>
      <c r="P87" s="7">
        <f>IFERROR(CLEAN_TABLE[[#This Row],[Savings]]/CLEAN_TABLE[[#This Row],[Income]],0)</f>
        <v>-0.16566514711976793</v>
      </c>
      <c r="Q87" s="7">
        <f>IF(CLEAN_TABLE[[#This Row],[Farmer_Type]]="Smart", 1 - (CLEAN_TABLE[[#This Row],[Irrigation]] / 70), 1 - (CLEAN_TABLE[[#This Row],[Irrigation]] / 150))</f>
        <v>0.60860000000000003</v>
      </c>
      <c r="R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836.13</v>
      </c>
    </row>
    <row r="88" spans="1:19">
      <c r="A88" s="6">
        <f>FARM_DATA[[#This Row],[Date]]</f>
        <v>45469</v>
      </c>
      <c r="B88" s="5" t="str">
        <f>FARM_DATA[[#This Row],[Farmer_Type]]</f>
        <v>Smart</v>
      </c>
      <c r="C88" s="8">
        <f>FARM_DATA[[#This Row],[Income]]</f>
        <v>1092.19</v>
      </c>
      <c r="D88" s="8">
        <f>FARM_DATA[[#This Row],[Irrigation]]</f>
        <v>17.22</v>
      </c>
      <c r="E88" s="8">
        <f>FARM_DATA[[#This Row],[Seeds]]</f>
        <v>52.78</v>
      </c>
      <c r="F88" s="8">
        <f>FARM_DATA[[#This Row],[Fertilizer]]</f>
        <v>114.78</v>
      </c>
      <c r="G88" s="8">
        <f>FARM_DATA[[#This Row],[Labor]]</f>
        <v>73.38</v>
      </c>
      <c r="H88" s="8">
        <f>FARM_DATA[[#This Row],[Household]]</f>
        <v>191.56</v>
      </c>
      <c r="I88" s="8">
        <f>FARM_DATA[[#This Row],[Medical]]</f>
        <v>27.34</v>
      </c>
      <c r="J88" s="8">
        <f>FARM_DATA[[#This Row],[Misc]]</f>
        <v>35.36</v>
      </c>
      <c r="K88" s="8">
        <f>FARM_DATA[[#This Row],[Total_Expenses]]</f>
        <v>512.41</v>
      </c>
      <c r="L88" s="30">
        <f>FARM_DATA[[#This Row],[Savings]]</f>
        <v>579.78</v>
      </c>
      <c r="M88" s="5" t="str">
        <f>TEXT(CLEAN_TABLE[[#This Row],[Date]], "mmm")</f>
        <v>Jun</v>
      </c>
      <c r="N88" s="5">
        <f>YEAR(CLEAN_TABLE[[#This Row],[Date]])</f>
        <v>2024</v>
      </c>
      <c r="O88" s="5">
        <f>IF(CLEAN_TABLE[[#This Row],[Farmer_Type]]="Smart",0,1)</f>
        <v>0</v>
      </c>
      <c r="P88" s="7">
        <f>IFERROR(CLEAN_TABLE[[#This Row],[Savings]]/CLEAN_TABLE[[#This Row],[Income]],0)</f>
        <v>0.53084170336663028</v>
      </c>
      <c r="Q88" s="7">
        <f>IF(CLEAN_TABLE[[#This Row],[Farmer_Type]]="Smart", 1 - (CLEAN_TABLE[[#This Row],[Irrigation]] / 70), 1 - (CLEAN_TABLE[[#This Row],[Irrigation]] / 150))</f>
        <v>0.754</v>
      </c>
      <c r="R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1604.6099999999997</v>
      </c>
    </row>
    <row r="89" spans="1:19">
      <c r="A89" s="6">
        <f>FARM_DATA[[#This Row],[Date]]</f>
        <v>45470</v>
      </c>
      <c r="B89" s="5" t="str">
        <f>FARM_DATA[[#This Row],[Farmer_Type]]</f>
        <v>Traditional</v>
      </c>
      <c r="C89" s="8">
        <f>FARM_DATA[[#This Row],[Income]]</f>
        <v>366.31</v>
      </c>
      <c r="D89" s="8">
        <f>FARM_DATA[[#This Row],[Irrigation]]</f>
        <v>57.49</v>
      </c>
      <c r="E89" s="8">
        <f>FARM_DATA[[#This Row],[Seeds]]</f>
        <v>53.86</v>
      </c>
      <c r="F89" s="8">
        <f>FARM_DATA[[#This Row],[Fertilizer]]</f>
        <v>51.3</v>
      </c>
      <c r="G89" s="8">
        <f>FARM_DATA[[#This Row],[Labor]]</f>
        <v>96.93</v>
      </c>
      <c r="H89" s="8">
        <f>FARM_DATA[[#This Row],[Household]]</f>
        <v>181.47</v>
      </c>
      <c r="I89" s="8">
        <f>FARM_DATA[[#This Row],[Medical]]</f>
        <v>14.37</v>
      </c>
      <c r="J89" s="8">
        <f>FARM_DATA[[#This Row],[Misc]]</f>
        <v>13.1</v>
      </c>
      <c r="K89" s="8">
        <f>FARM_DATA[[#This Row],[Total_Expenses]]</f>
        <v>468.52</v>
      </c>
      <c r="L89" s="30">
        <f>FARM_DATA[[#This Row],[Savings]]</f>
        <v>-102.21</v>
      </c>
      <c r="M89" s="5" t="str">
        <f>TEXT(CLEAN_TABLE[[#This Row],[Date]], "mmm")</f>
        <v>Jun</v>
      </c>
      <c r="N89" s="5">
        <f>YEAR(CLEAN_TABLE[[#This Row],[Date]])</f>
        <v>2024</v>
      </c>
      <c r="O89" s="5">
        <f>IF(CLEAN_TABLE[[#This Row],[Farmer_Type]]="Smart",0,1)</f>
        <v>1</v>
      </c>
      <c r="P89" s="7">
        <f>IFERROR(CLEAN_TABLE[[#This Row],[Savings]]/CLEAN_TABLE[[#This Row],[Income]],0)</f>
        <v>-0.27902596161720944</v>
      </c>
      <c r="Q89" s="7">
        <f>IF(CLEAN_TABLE[[#This Row],[Farmer_Type]]="Smart", 1 - (CLEAN_TABLE[[#This Row],[Irrigation]] / 70), 1 - (CLEAN_TABLE[[#This Row],[Irrigation]] / 150))</f>
        <v>0.61673333333333336</v>
      </c>
      <c r="R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834.83000000000015</v>
      </c>
    </row>
    <row r="90" spans="1:19">
      <c r="A90" s="6">
        <f>FARM_DATA[[#This Row],[Date]]</f>
        <v>45471</v>
      </c>
      <c r="B90" s="5" t="str">
        <f>FARM_DATA[[#This Row],[Farmer_Type]]</f>
        <v>Traditional</v>
      </c>
      <c r="C90" s="8">
        <f>FARM_DATA[[#This Row],[Income]]</f>
        <v>272.17</v>
      </c>
      <c r="D90" s="8">
        <f>FARM_DATA[[#This Row],[Irrigation]]</f>
        <v>76.06</v>
      </c>
      <c r="E90" s="8">
        <f>FARM_DATA[[#This Row],[Seeds]]</f>
        <v>20.79</v>
      </c>
      <c r="F90" s="8">
        <f>FARM_DATA[[#This Row],[Fertilizer]]</f>
        <v>90.1</v>
      </c>
      <c r="G90" s="8">
        <f>FARM_DATA[[#This Row],[Labor]]</f>
        <v>57.95</v>
      </c>
      <c r="H90" s="8">
        <f>FARM_DATA[[#This Row],[Household]]</f>
        <v>200.89</v>
      </c>
      <c r="I90" s="8">
        <f>FARM_DATA[[#This Row],[Medical]]</f>
        <v>21.69</v>
      </c>
      <c r="J90" s="8">
        <f>FARM_DATA[[#This Row],[Misc]]</f>
        <v>28.84</v>
      </c>
      <c r="K90" s="8">
        <f>FARM_DATA[[#This Row],[Total_Expenses]]</f>
        <v>496.32</v>
      </c>
      <c r="L90" s="30">
        <f>FARM_DATA[[#This Row],[Savings]]</f>
        <v>-224.15</v>
      </c>
      <c r="M90" s="5" t="str">
        <f>TEXT(CLEAN_TABLE[[#This Row],[Date]], "mmm")</f>
        <v>Jun</v>
      </c>
      <c r="N90" s="5">
        <f>YEAR(CLEAN_TABLE[[#This Row],[Date]])</f>
        <v>2024</v>
      </c>
      <c r="O90" s="5">
        <f>IF(CLEAN_TABLE[[#This Row],[Farmer_Type]]="Smart",0,1)</f>
        <v>1</v>
      </c>
      <c r="P90" s="7">
        <f>IFERROR(CLEAN_TABLE[[#This Row],[Savings]]/CLEAN_TABLE[[#This Row],[Income]],0)</f>
        <v>-0.82356615350699924</v>
      </c>
      <c r="Q90" s="7">
        <f>IF(CLEAN_TABLE[[#This Row],[Farmer_Type]]="Smart", 1 - (CLEAN_TABLE[[#This Row],[Irrigation]] / 70), 1 - (CLEAN_TABLE[[#This Row],[Irrigation]] / 150))</f>
        <v>0.49293333333333333</v>
      </c>
      <c r="R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768.49000000000012</v>
      </c>
    </row>
    <row r="91" spans="1:19">
      <c r="A91" s="6">
        <f>FARM_DATA[[#This Row],[Date]]</f>
        <v>45472</v>
      </c>
      <c r="B91" s="5" t="str">
        <f>FARM_DATA[[#This Row],[Farmer_Type]]</f>
        <v>Smart</v>
      </c>
      <c r="C91" s="8">
        <f>FARM_DATA[[#This Row],[Income]]</f>
        <v>841.02</v>
      </c>
      <c r="D91" s="8">
        <f>FARM_DATA[[#This Row],[Irrigation]]</f>
        <v>17</v>
      </c>
      <c r="E91" s="8">
        <f>FARM_DATA[[#This Row],[Seeds]]</f>
        <v>59.25</v>
      </c>
      <c r="F91" s="8">
        <f>FARM_DATA[[#This Row],[Fertilizer]]</f>
        <v>113.1</v>
      </c>
      <c r="G91" s="8">
        <f>FARM_DATA[[#This Row],[Labor]]</f>
        <v>97.28</v>
      </c>
      <c r="H91" s="8">
        <f>FARM_DATA[[#This Row],[Household]]</f>
        <v>175.26</v>
      </c>
      <c r="I91" s="8">
        <f>FARM_DATA[[#This Row],[Medical]]</f>
        <v>18.73</v>
      </c>
      <c r="J91" s="8">
        <f>FARM_DATA[[#This Row],[Misc]]</f>
        <v>39.15</v>
      </c>
      <c r="K91" s="8">
        <f>FARM_DATA[[#This Row],[Total_Expenses]]</f>
        <v>519.76</v>
      </c>
      <c r="L91" s="30">
        <f>FARM_DATA[[#This Row],[Savings]]</f>
        <v>321.26</v>
      </c>
      <c r="M91" s="5" t="str">
        <f>TEXT(CLEAN_TABLE[[#This Row],[Date]], "mmm")</f>
        <v>Jun</v>
      </c>
      <c r="N91" s="5">
        <f>YEAR(CLEAN_TABLE[[#This Row],[Date]])</f>
        <v>2024</v>
      </c>
      <c r="O91" s="5">
        <f>IF(CLEAN_TABLE[[#This Row],[Farmer_Type]]="Smart",0,1)</f>
        <v>0</v>
      </c>
      <c r="P91" s="7">
        <f>IFERROR(CLEAN_TABLE[[#This Row],[Savings]]/CLEAN_TABLE[[#This Row],[Income]],0)</f>
        <v>0.38198853772799696</v>
      </c>
      <c r="Q91" s="7">
        <f>IF(CLEAN_TABLE[[#This Row],[Farmer_Type]]="Smart", 1 - (CLEAN_TABLE[[#This Row],[Irrigation]] / 70), 1 - (CLEAN_TABLE[[#This Row],[Irrigation]] / 150))</f>
        <v>0.75714285714285712</v>
      </c>
      <c r="R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1360.79</v>
      </c>
    </row>
    <row r="92" spans="1:19">
      <c r="A92" s="6">
        <f>FARM_DATA[[#This Row],[Date]]</f>
        <v>45473</v>
      </c>
      <c r="B92" s="5" t="str">
        <f>FARM_DATA[[#This Row],[Farmer_Type]]</f>
        <v>Traditional</v>
      </c>
      <c r="C92" s="8">
        <f>FARM_DATA[[#This Row],[Income]]</f>
        <v>365.39</v>
      </c>
      <c r="D92" s="8">
        <f>FARM_DATA[[#This Row],[Irrigation]]</f>
        <v>52.9</v>
      </c>
      <c r="E92" s="8">
        <f>FARM_DATA[[#This Row],[Seeds]]</f>
        <v>19.78</v>
      </c>
      <c r="F92" s="8">
        <f>FARM_DATA[[#This Row],[Fertilizer]]</f>
        <v>69.87</v>
      </c>
      <c r="G92" s="8">
        <f>FARM_DATA[[#This Row],[Labor]]</f>
        <v>114.27</v>
      </c>
      <c r="H92" s="8">
        <f>FARM_DATA[[#This Row],[Household]]</f>
        <v>144.47999999999999</v>
      </c>
      <c r="I92" s="8">
        <f>FARM_DATA[[#This Row],[Medical]]</f>
        <v>20.149999999999999</v>
      </c>
      <c r="J92" s="8">
        <f>FARM_DATA[[#This Row],[Misc]]</f>
        <v>34.17</v>
      </c>
      <c r="K92" s="8">
        <f>FARM_DATA[[#This Row],[Total_Expenses]]</f>
        <v>455.61</v>
      </c>
      <c r="L92" s="30">
        <f>FARM_DATA[[#This Row],[Savings]]</f>
        <v>-90.22</v>
      </c>
      <c r="M92" s="5" t="str">
        <f>TEXT(CLEAN_TABLE[[#This Row],[Date]], "mmm")</f>
        <v>Jun</v>
      </c>
      <c r="N92" s="5">
        <f>YEAR(CLEAN_TABLE[[#This Row],[Date]])</f>
        <v>2024</v>
      </c>
      <c r="O92" s="5">
        <f>IF(CLEAN_TABLE[[#This Row],[Farmer_Type]]="Smart",0,1)</f>
        <v>1</v>
      </c>
      <c r="P92" s="7">
        <f>IFERROR(CLEAN_TABLE[[#This Row],[Savings]]/CLEAN_TABLE[[#This Row],[Income]],0)</f>
        <v>-0.2469142560004379</v>
      </c>
      <c r="Q92" s="7">
        <f>IF(CLEAN_TABLE[[#This Row],[Farmer_Type]]="Smart", 1 - (CLEAN_TABLE[[#This Row],[Irrigation]] / 70), 1 - (CLEAN_TABLE[[#This Row],[Irrigation]] / 150))</f>
        <v>0.64733333333333332</v>
      </c>
      <c r="R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821.00999999999988</v>
      </c>
    </row>
    <row r="93" spans="1:19">
      <c r="A93" s="6">
        <f>FARM_DATA[[#This Row],[Date]]</f>
        <v>45474</v>
      </c>
      <c r="B93" s="5" t="str">
        <f>FARM_DATA[[#This Row],[Farmer_Type]]</f>
        <v>Smart</v>
      </c>
      <c r="C93" s="8">
        <f>FARM_DATA[[#This Row],[Income]]</f>
        <v>842.05</v>
      </c>
      <c r="D93" s="8">
        <f>FARM_DATA[[#This Row],[Irrigation]]</f>
        <v>11.11</v>
      </c>
      <c r="E93" s="8">
        <f>FARM_DATA[[#This Row],[Seeds]]</f>
        <v>63.92</v>
      </c>
      <c r="F93" s="8">
        <f>FARM_DATA[[#This Row],[Fertilizer]]</f>
        <v>50.65</v>
      </c>
      <c r="G93" s="8">
        <f>FARM_DATA[[#This Row],[Labor]]</f>
        <v>103.17</v>
      </c>
      <c r="H93" s="8">
        <f>FARM_DATA[[#This Row],[Household]]</f>
        <v>110.41</v>
      </c>
      <c r="I93" s="8">
        <f>FARM_DATA[[#This Row],[Medical]]</f>
        <v>31.26</v>
      </c>
      <c r="J93" s="8">
        <f>FARM_DATA[[#This Row],[Misc]]</f>
        <v>47.09</v>
      </c>
      <c r="K93" s="8">
        <f>FARM_DATA[[#This Row],[Total_Expenses]]</f>
        <v>417.6</v>
      </c>
      <c r="L93" s="30">
        <f>FARM_DATA[[#This Row],[Savings]]</f>
        <v>424.45</v>
      </c>
      <c r="M93" s="5" t="str">
        <f>TEXT(CLEAN_TABLE[[#This Row],[Date]], "mmm")</f>
        <v>Jul</v>
      </c>
      <c r="N93" s="5">
        <f>YEAR(CLEAN_TABLE[[#This Row],[Date]])</f>
        <v>2024</v>
      </c>
      <c r="O93" s="5">
        <f>IF(CLEAN_TABLE[[#This Row],[Farmer_Type]]="Smart",0,1)</f>
        <v>0</v>
      </c>
      <c r="P93" s="7">
        <f>IFERROR(CLEAN_TABLE[[#This Row],[Savings]]/CLEAN_TABLE[[#This Row],[Income]],0)</f>
        <v>0.50406745442669676</v>
      </c>
      <c r="Q93" s="7">
        <f>IF(CLEAN_TABLE[[#This Row],[Farmer_Type]]="Smart", 1 - (CLEAN_TABLE[[#This Row],[Irrigation]] / 70), 1 - (CLEAN_TABLE[[#This Row],[Irrigation]] / 150))</f>
        <v>0.8412857142857143</v>
      </c>
      <c r="R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1259.6599999999999</v>
      </c>
    </row>
    <row r="94" spans="1:19">
      <c r="A94" s="6">
        <f>FARM_DATA[[#This Row],[Date]]</f>
        <v>45475</v>
      </c>
      <c r="B94" s="5" t="str">
        <f>FARM_DATA[[#This Row],[Farmer_Type]]</f>
        <v>Traditional</v>
      </c>
      <c r="C94" s="8">
        <f>FARM_DATA[[#This Row],[Income]]</f>
        <v>362.8</v>
      </c>
      <c r="D94" s="8">
        <f>FARM_DATA[[#This Row],[Irrigation]]</f>
        <v>79.83</v>
      </c>
      <c r="E94" s="8">
        <f>FARM_DATA[[#This Row],[Seeds]]</f>
        <v>64.98</v>
      </c>
      <c r="F94" s="8">
        <f>FARM_DATA[[#This Row],[Fertilizer]]</f>
        <v>75.290000000000006</v>
      </c>
      <c r="G94" s="8">
        <f>FARM_DATA[[#This Row],[Labor]]</f>
        <v>63.98</v>
      </c>
      <c r="H94" s="8">
        <f>FARM_DATA[[#This Row],[Household]]</f>
        <v>111.61</v>
      </c>
      <c r="I94" s="8">
        <f>FARM_DATA[[#This Row],[Medical]]</f>
        <v>15</v>
      </c>
      <c r="J94" s="8">
        <f>FARM_DATA[[#This Row],[Misc]]</f>
        <v>30.31</v>
      </c>
      <c r="K94" s="8">
        <f>FARM_DATA[[#This Row],[Total_Expenses]]</f>
        <v>441</v>
      </c>
      <c r="L94" s="30">
        <f>FARM_DATA[[#This Row],[Savings]]</f>
        <v>-78.2</v>
      </c>
      <c r="M94" s="5" t="str">
        <f>TEXT(CLEAN_TABLE[[#This Row],[Date]], "mmm")</f>
        <v>Jul</v>
      </c>
      <c r="N94" s="5">
        <f>YEAR(CLEAN_TABLE[[#This Row],[Date]])</f>
        <v>2024</v>
      </c>
      <c r="O94" s="5">
        <f>IF(CLEAN_TABLE[[#This Row],[Farmer_Type]]="Smart",0,1)</f>
        <v>1</v>
      </c>
      <c r="P94" s="7">
        <f>IFERROR(CLEAN_TABLE[[#This Row],[Savings]]/CLEAN_TABLE[[#This Row],[Income]],0)</f>
        <v>-0.21554575523704519</v>
      </c>
      <c r="Q94" s="7">
        <f>IF(CLEAN_TABLE[[#This Row],[Farmer_Type]]="Smart", 1 - (CLEAN_TABLE[[#This Row],[Irrigation]] / 70), 1 - (CLEAN_TABLE[[#This Row],[Irrigation]] / 150))</f>
        <v>0.46779999999999999</v>
      </c>
      <c r="R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803.8</v>
      </c>
    </row>
    <row r="95" spans="1:19">
      <c r="A95" s="6">
        <f>FARM_DATA[[#This Row],[Date]]</f>
        <v>45476</v>
      </c>
      <c r="B95" s="5" t="str">
        <f>FARM_DATA[[#This Row],[Farmer_Type]]</f>
        <v>Traditional</v>
      </c>
      <c r="C95" s="8">
        <f>FARM_DATA[[#This Row],[Income]]</f>
        <v>375.88</v>
      </c>
      <c r="D95" s="8">
        <f>FARM_DATA[[#This Row],[Irrigation]]</f>
        <v>62.74</v>
      </c>
      <c r="E95" s="8">
        <f>FARM_DATA[[#This Row],[Seeds]]</f>
        <v>42.8</v>
      </c>
      <c r="F95" s="8">
        <f>FARM_DATA[[#This Row],[Fertilizer]]</f>
        <v>39.89</v>
      </c>
      <c r="G95" s="8">
        <f>FARM_DATA[[#This Row],[Labor]]</f>
        <v>94.71</v>
      </c>
      <c r="H95" s="8">
        <f>FARM_DATA[[#This Row],[Household]]</f>
        <v>107.8</v>
      </c>
      <c r="I95" s="8">
        <f>FARM_DATA[[#This Row],[Medical]]</f>
        <v>12.61</v>
      </c>
      <c r="J95" s="8">
        <f>FARM_DATA[[#This Row],[Misc]]</f>
        <v>13.78</v>
      </c>
      <c r="K95" s="8">
        <f>FARM_DATA[[#This Row],[Total_Expenses]]</f>
        <v>374.34</v>
      </c>
      <c r="L95" s="30">
        <f>FARM_DATA[[#This Row],[Savings]]</f>
        <v>1.54</v>
      </c>
      <c r="M95" s="5" t="str">
        <f>TEXT(CLEAN_TABLE[[#This Row],[Date]], "mmm")</f>
        <v>Jul</v>
      </c>
      <c r="N95" s="5">
        <f>YEAR(CLEAN_TABLE[[#This Row],[Date]])</f>
        <v>2024</v>
      </c>
      <c r="O95" s="5">
        <f>IF(CLEAN_TABLE[[#This Row],[Farmer_Type]]="Smart",0,1)</f>
        <v>1</v>
      </c>
      <c r="P95" s="7">
        <f>IFERROR(CLEAN_TABLE[[#This Row],[Savings]]/CLEAN_TABLE[[#This Row],[Income]],0)</f>
        <v>4.0970522507183145E-3</v>
      </c>
      <c r="Q95" s="7">
        <f>IF(CLEAN_TABLE[[#This Row],[Farmer_Type]]="Smart", 1 - (CLEAN_TABLE[[#This Row],[Irrigation]] / 70), 1 - (CLEAN_TABLE[[#This Row],[Irrigation]] / 150))</f>
        <v>0.58173333333333332</v>
      </c>
      <c r="R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750.21</v>
      </c>
    </row>
    <row r="96" spans="1:19">
      <c r="A96" s="6">
        <f>FARM_DATA[[#This Row],[Date]]</f>
        <v>45477</v>
      </c>
      <c r="B96" s="5" t="str">
        <f>FARM_DATA[[#This Row],[Farmer_Type]]</f>
        <v>Traditional</v>
      </c>
      <c r="C96" s="8">
        <f>FARM_DATA[[#This Row],[Income]]</f>
        <v>301.20999999999998</v>
      </c>
      <c r="D96" s="8">
        <f>FARM_DATA[[#This Row],[Irrigation]]</f>
        <v>80.540000000000006</v>
      </c>
      <c r="E96" s="8">
        <f>FARM_DATA[[#This Row],[Seeds]]</f>
        <v>25.76</v>
      </c>
      <c r="F96" s="8">
        <f>FARM_DATA[[#This Row],[Fertilizer]]</f>
        <v>107.65</v>
      </c>
      <c r="G96" s="8">
        <f>FARM_DATA[[#This Row],[Labor]]</f>
        <v>122.33</v>
      </c>
      <c r="H96" s="8">
        <f>FARM_DATA[[#This Row],[Household]]</f>
        <v>155.55000000000001</v>
      </c>
      <c r="I96" s="8">
        <f>FARM_DATA[[#This Row],[Medical]]</f>
        <v>13.13</v>
      </c>
      <c r="J96" s="8">
        <f>FARM_DATA[[#This Row],[Misc]]</f>
        <v>38.4</v>
      </c>
      <c r="K96" s="8">
        <f>FARM_DATA[[#This Row],[Total_Expenses]]</f>
        <v>543.36</v>
      </c>
      <c r="L96" s="30">
        <f>FARM_DATA[[#This Row],[Savings]]</f>
        <v>-242.15</v>
      </c>
      <c r="M96" s="5" t="str">
        <f>TEXT(CLEAN_TABLE[[#This Row],[Date]], "mmm")</f>
        <v>Jul</v>
      </c>
      <c r="N96" s="5">
        <f>YEAR(CLEAN_TABLE[[#This Row],[Date]])</f>
        <v>2024</v>
      </c>
      <c r="O96" s="5">
        <f>IF(CLEAN_TABLE[[#This Row],[Farmer_Type]]="Smart",0,1)</f>
        <v>1</v>
      </c>
      <c r="P96" s="7">
        <f>IFERROR(CLEAN_TABLE[[#This Row],[Savings]]/CLEAN_TABLE[[#This Row],[Income]],0)</f>
        <v>-0.80392417250423298</v>
      </c>
      <c r="Q96" s="7">
        <f>IF(CLEAN_TABLE[[#This Row],[Farmer_Type]]="Smart", 1 - (CLEAN_TABLE[[#This Row],[Irrigation]] / 70), 1 - (CLEAN_TABLE[[#This Row],[Irrigation]] / 150))</f>
        <v>0.46306666666666663</v>
      </c>
      <c r="R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844.56999999999994</v>
      </c>
    </row>
    <row r="97" spans="1:19">
      <c r="A97" s="6">
        <f>FARM_DATA[[#This Row],[Date]]</f>
        <v>45478</v>
      </c>
      <c r="B97" s="5" t="str">
        <f>FARM_DATA[[#This Row],[Farmer_Type]]</f>
        <v>Traditional</v>
      </c>
      <c r="C97" s="8">
        <f>FARM_DATA[[#This Row],[Income]]</f>
        <v>321.22000000000003</v>
      </c>
      <c r="D97" s="8">
        <f>FARM_DATA[[#This Row],[Irrigation]]</f>
        <v>71.22</v>
      </c>
      <c r="E97" s="8">
        <f>FARM_DATA[[#This Row],[Seeds]]</f>
        <v>78.400000000000006</v>
      </c>
      <c r="F97" s="8">
        <f>FARM_DATA[[#This Row],[Fertilizer]]</f>
        <v>53.08</v>
      </c>
      <c r="G97" s="8">
        <f>FARM_DATA[[#This Row],[Labor]]</f>
        <v>138.72999999999999</v>
      </c>
      <c r="H97" s="8">
        <f>FARM_DATA[[#This Row],[Household]]</f>
        <v>128.9</v>
      </c>
      <c r="I97" s="8">
        <f>FARM_DATA[[#This Row],[Medical]]</f>
        <v>19.72</v>
      </c>
      <c r="J97" s="8">
        <f>FARM_DATA[[#This Row],[Misc]]</f>
        <v>51.25</v>
      </c>
      <c r="K97" s="8">
        <f>FARM_DATA[[#This Row],[Total_Expenses]]</f>
        <v>541.30999999999995</v>
      </c>
      <c r="L97" s="30">
        <f>FARM_DATA[[#This Row],[Savings]]</f>
        <v>-220.09</v>
      </c>
      <c r="M97" s="5" t="str">
        <f>TEXT(CLEAN_TABLE[[#This Row],[Date]], "mmm")</f>
        <v>Jul</v>
      </c>
      <c r="N97" s="5">
        <f>YEAR(CLEAN_TABLE[[#This Row],[Date]])</f>
        <v>2024</v>
      </c>
      <c r="O97" s="5">
        <f>IF(CLEAN_TABLE[[#This Row],[Farmer_Type]]="Smart",0,1)</f>
        <v>1</v>
      </c>
      <c r="P97" s="7">
        <f>IFERROR(CLEAN_TABLE[[#This Row],[Savings]]/CLEAN_TABLE[[#This Row],[Income]],0)</f>
        <v>-0.68516904302347292</v>
      </c>
      <c r="Q97" s="7">
        <f>IF(CLEAN_TABLE[[#This Row],[Farmer_Type]]="Smart", 1 - (CLEAN_TABLE[[#This Row],[Irrigation]] / 70), 1 - (CLEAN_TABLE[[#This Row],[Irrigation]] / 150))</f>
        <v>0.5252</v>
      </c>
      <c r="R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862.5200000000001</v>
      </c>
    </row>
    <row r="98" spans="1:19">
      <c r="A98" s="6">
        <f>FARM_DATA[[#This Row],[Date]]</f>
        <v>45479</v>
      </c>
      <c r="B98" s="5" t="str">
        <f>FARM_DATA[[#This Row],[Farmer_Type]]</f>
        <v>Traditional</v>
      </c>
      <c r="C98" s="8">
        <f>FARM_DATA[[#This Row],[Income]]</f>
        <v>318.64999999999998</v>
      </c>
      <c r="D98" s="8">
        <f>FARM_DATA[[#This Row],[Irrigation]]</f>
        <v>88.12</v>
      </c>
      <c r="E98" s="8">
        <f>FARM_DATA[[#This Row],[Seeds]]</f>
        <v>50.62</v>
      </c>
      <c r="F98" s="8">
        <f>FARM_DATA[[#This Row],[Fertilizer]]</f>
        <v>43.75</v>
      </c>
      <c r="G98" s="8">
        <f>FARM_DATA[[#This Row],[Labor]]</f>
        <v>125.81</v>
      </c>
      <c r="H98" s="8">
        <f>FARM_DATA[[#This Row],[Household]]</f>
        <v>179.18</v>
      </c>
      <c r="I98" s="8">
        <f>FARM_DATA[[#This Row],[Medical]]</f>
        <v>24.97</v>
      </c>
      <c r="J98" s="8">
        <f>FARM_DATA[[#This Row],[Misc]]</f>
        <v>11.16</v>
      </c>
      <c r="K98" s="8">
        <f>FARM_DATA[[#This Row],[Total_Expenses]]</f>
        <v>523.61</v>
      </c>
      <c r="L98" s="30">
        <f>FARM_DATA[[#This Row],[Savings]]</f>
        <v>-204.96</v>
      </c>
      <c r="M98" s="5" t="str">
        <f>TEXT(CLEAN_TABLE[[#This Row],[Date]], "mmm")</f>
        <v>Jul</v>
      </c>
      <c r="N98" s="5">
        <f>YEAR(CLEAN_TABLE[[#This Row],[Date]])</f>
        <v>2024</v>
      </c>
      <c r="O98" s="5">
        <f>IF(CLEAN_TABLE[[#This Row],[Farmer_Type]]="Smart",0,1)</f>
        <v>1</v>
      </c>
      <c r="P98" s="7">
        <f>IFERROR(CLEAN_TABLE[[#This Row],[Savings]]/CLEAN_TABLE[[#This Row],[Income]],0)</f>
        <v>-0.64321355719441398</v>
      </c>
      <c r="Q98" s="7">
        <f>IF(CLEAN_TABLE[[#This Row],[Farmer_Type]]="Smart", 1 - (CLEAN_TABLE[[#This Row],[Irrigation]] / 70), 1 - (CLEAN_TABLE[[#This Row],[Irrigation]] / 150))</f>
        <v>0.41253333333333331</v>
      </c>
      <c r="R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842.2600000000001</v>
      </c>
    </row>
    <row r="99" spans="1:19">
      <c r="A99" s="6">
        <f>FARM_DATA[[#This Row],[Date]]</f>
        <v>45480</v>
      </c>
      <c r="B99" s="5" t="str">
        <f>FARM_DATA[[#This Row],[Farmer_Type]]</f>
        <v>Smart</v>
      </c>
      <c r="C99" s="8">
        <f>FARM_DATA[[#This Row],[Income]]</f>
        <v>804.57</v>
      </c>
      <c r="D99" s="8">
        <f>FARM_DATA[[#This Row],[Irrigation]]</f>
        <v>13.76</v>
      </c>
      <c r="E99" s="8">
        <f>FARM_DATA[[#This Row],[Seeds]]</f>
        <v>58.51</v>
      </c>
      <c r="F99" s="8">
        <f>FARM_DATA[[#This Row],[Fertilizer]]</f>
        <v>98.62</v>
      </c>
      <c r="G99" s="8">
        <f>FARM_DATA[[#This Row],[Labor]]</f>
        <v>98.55</v>
      </c>
      <c r="H99" s="8">
        <f>FARM_DATA[[#This Row],[Household]]</f>
        <v>123.26</v>
      </c>
      <c r="I99" s="8">
        <f>FARM_DATA[[#This Row],[Medical]]</f>
        <v>25.42</v>
      </c>
      <c r="J99" s="8">
        <f>FARM_DATA[[#This Row],[Misc]]</f>
        <v>49.16</v>
      </c>
      <c r="K99" s="8">
        <f>FARM_DATA[[#This Row],[Total_Expenses]]</f>
        <v>467.29</v>
      </c>
      <c r="L99" s="30">
        <f>FARM_DATA[[#This Row],[Savings]]</f>
        <v>337.28</v>
      </c>
      <c r="M99" s="5" t="str">
        <f>TEXT(CLEAN_TABLE[[#This Row],[Date]], "mmm")</f>
        <v>Jul</v>
      </c>
      <c r="N99" s="5">
        <f>YEAR(CLEAN_TABLE[[#This Row],[Date]])</f>
        <v>2024</v>
      </c>
      <c r="O99" s="5">
        <f>IF(CLEAN_TABLE[[#This Row],[Farmer_Type]]="Smart",0,1)</f>
        <v>0</v>
      </c>
      <c r="P99" s="7">
        <f>IFERROR(CLEAN_TABLE[[#This Row],[Savings]]/CLEAN_TABLE[[#This Row],[Income]],0)</f>
        <v>0.41920528978211957</v>
      </c>
      <c r="Q99" s="7">
        <f>IF(CLEAN_TABLE[[#This Row],[Farmer_Type]]="Smart", 1 - (CLEAN_TABLE[[#This Row],[Irrigation]] / 70), 1 - (CLEAN_TABLE[[#This Row],[Irrigation]] / 150))</f>
        <v>0.80342857142857138</v>
      </c>
      <c r="R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1271.8500000000001</v>
      </c>
    </row>
    <row r="100" spans="1:19">
      <c r="A100" s="6">
        <f>FARM_DATA[[#This Row],[Date]]</f>
        <v>45481</v>
      </c>
      <c r="B100" s="5" t="str">
        <f>FARM_DATA[[#This Row],[Farmer_Type]]</f>
        <v>Smart</v>
      </c>
      <c r="C100" s="8">
        <f>FARM_DATA[[#This Row],[Income]]</f>
        <v>1061.96</v>
      </c>
      <c r="D100" s="8">
        <f>FARM_DATA[[#This Row],[Irrigation]]</f>
        <v>20.399999999999999</v>
      </c>
      <c r="E100" s="8">
        <f>FARM_DATA[[#This Row],[Seeds]]</f>
        <v>76.680000000000007</v>
      </c>
      <c r="F100" s="8">
        <f>FARM_DATA[[#This Row],[Fertilizer]]</f>
        <v>93.78</v>
      </c>
      <c r="G100" s="8">
        <f>FARM_DATA[[#This Row],[Labor]]</f>
        <v>93.6</v>
      </c>
      <c r="H100" s="8">
        <f>FARM_DATA[[#This Row],[Household]]</f>
        <v>111.87</v>
      </c>
      <c r="I100" s="8">
        <f>FARM_DATA[[#This Row],[Medical]]</f>
        <v>25.87</v>
      </c>
      <c r="J100" s="8">
        <f>FARM_DATA[[#This Row],[Misc]]</f>
        <v>43.12</v>
      </c>
      <c r="K100" s="8">
        <f>FARM_DATA[[#This Row],[Total_Expenses]]</f>
        <v>465.3</v>
      </c>
      <c r="L100" s="30">
        <f>FARM_DATA[[#This Row],[Savings]]</f>
        <v>596.66</v>
      </c>
      <c r="M100" s="5" t="str">
        <f>TEXT(CLEAN_TABLE[[#This Row],[Date]], "mmm")</f>
        <v>Jul</v>
      </c>
      <c r="N100" s="5">
        <f>YEAR(CLEAN_TABLE[[#This Row],[Date]])</f>
        <v>2024</v>
      </c>
      <c r="O100" s="5">
        <f>IF(CLEAN_TABLE[[#This Row],[Farmer_Type]]="Smart",0,1)</f>
        <v>0</v>
      </c>
      <c r="P100" s="7">
        <f>IFERROR(CLEAN_TABLE[[#This Row],[Savings]]/CLEAN_TABLE[[#This Row],[Income]],0)</f>
        <v>0.56184790387585215</v>
      </c>
      <c r="Q100" s="7">
        <f>IF(CLEAN_TABLE[[#This Row],[Farmer_Type]]="Smart", 1 - (CLEAN_TABLE[[#This Row],[Irrigation]] / 70), 1 - (CLEAN_TABLE[[#This Row],[Irrigation]] / 150))</f>
        <v>0.70857142857142863</v>
      </c>
      <c r="R1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1527.2799999999997</v>
      </c>
    </row>
    <row r="101" spans="1:19">
      <c r="A101" s="6">
        <f>FARM_DATA[[#This Row],[Date]]</f>
        <v>45482</v>
      </c>
      <c r="B101" s="5" t="str">
        <f>FARM_DATA[[#This Row],[Farmer_Type]]</f>
        <v>Traditional</v>
      </c>
      <c r="C101" s="8">
        <f>FARM_DATA[[#This Row],[Income]]</f>
        <v>363.58</v>
      </c>
      <c r="D101" s="8">
        <f>FARM_DATA[[#This Row],[Irrigation]]</f>
        <v>57.23</v>
      </c>
      <c r="E101" s="8">
        <f>FARM_DATA[[#This Row],[Seeds]]</f>
        <v>23.78</v>
      </c>
      <c r="F101" s="8">
        <f>FARM_DATA[[#This Row],[Fertilizer]]</f>
        <v>76.06</v>
      </c>
      <c r="G101" s="8">
        <f>FARM_DATA[[#This Row],[Labor]]</f>
        <v>109.01</v>
      </c>
      <c r="H101" s="8">
        <f>FARM_DATA[[#This Row],[Household]]</f>
        <v>170.45</v>
      </c>
      <c r="I101" s="8">
        <f>FARM_DATA[[#This Row],[Medical]]</f>
        <v>20.23</v>
      </c>
      <c r="J101" s="8">
        <f>FARM_DATA[[#This Row],[Misc]]</f>
        <v>30.36</v>
      </c>
      <c r="K101" s="8">
        <f>FARM_DATA[[#This Row],[Total_Expenses]]</f>
        <v>487.12</v>
      </c>
      <c r="L101" s="30">
        <f>FARM_DATA[[#This Row],[Savings]]</f>
        <v>-123.54</v>
      </c>
      <c r="M101" s="5" t="str">
        <f>TEXT(CLEAN_TABLE[[#This Row],[Date]], "mmm")</f>
        <v>Jul</v>
      </c>
      <c r="N101" s="5">
        <f>YEAR(CLEAN_TABLE[[#This Row],[Date]])</f>
        <v>2024</v>
      </c>
      <c r="O101" s="5">
        <f>IF(CLEAN_TABLE[[#This Row],[Farmer_Type]]="Smart",0,1)</f>
        <v>1</v>
      </c>
      <c r="P101" s="7">
        <f>IFERROR(CLEAN_TABLE[[#This Row],[Savings]]/CLEAN_TABLE[[#This Row],[Income]],0)</f>
        <v>-0.33978766708839875</v>
      </c>
      <c r="Q101" s="7">
        <f>IF(CLEAN_TABLE[[#This Row],[Farmer_Type]]="Smart", 1 - (CLEAN_TABLE[[#This Row],[Irrigation]] / 70), 1 - (CLEAN_TABLE[[#This Row],[Irrigation]] / 150))</f>
        <v>0.61846666666666672</v>
      </c>
      <c r="R1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850.70000000000016</v>
      </c>
    </row>
    <row r="102" spans="1:19">
      <c r="A102" s="6">
        <f>FARM_DATA[[#This Row],[Date]]</f>
        <v>45483</v>
      </c>
      <c r="B102" s="5" t="str">
        <f>FARM_DATA[[#This Row],[Farmer_Type]]</f>
        <v>Smart</v>
      </c>
      <c r="C102" s="8">
        <f>FARM_DATA[[#This Row],[Income]]</f>
        <v>1137.6600000000001</v>
      </c>
      <c r="D102" s="8">
        <f>FARM_DATA[[#This Row],[Irrigation]]</f>
        <v>12.42</v>
      </c>
      <c r="E102" s="8">
        <f>FARM_DATA[[#This Row],[Seeds]]</f>
        <v>61.92</v>
      </c>
      <c r="F102" s="8">
        <f>FARM_DATA[[#This Row],[Fertilizer]]</f>
        <v>66.13</v>
      </c>
      <c r="G102" s="8">
        <f>FARM_DATA[[#This Row],[Labor]]</f>
        <v>86.31</v>
      </c>
      <c r="H102" s="8">
        <f>FARM_DATA[[#This Row],[Household]]</f>
        <v>159.18</v>
      </c>
      <c r="I102" s="8">
        <f>FARM_DATA[[#This Row],[Medical]]</f>
        <v>24</v>
      </c>
      <c r="J102" s="8">
        <f>FARM_DATA[[#This Row],[Misc]]</f>
        <v>32.82</v>
      </c>
      <c r="K102" s="8">
        <f>FARM_DATA[[#This Row],[Total_Expenses]]</f>
        <v>442.78</v>
      </c>
      <c r="L102" s="30">
        <f>FARM_DATA[[#This Row],[Savings]]</f>
        <v>694.88</v>
      </c>
      <c r="M102" s="5" t="str">
        <f>TEXT(CLEAN_TABLE[[#This Row],[Date]], "mmm")</f>
        <v>Jul</v>
      </c>
      <c r="N102" s="5">
        <f>YEAR(CLEAN_TABLE[[#This Row],[Date]])</f>
        <v>2024</v>
      </c>
      <c r="O102" s="5">
        <f>IF(CLEAN_TABLE[[#This Row],[Farmer_Type]]="Smart",0,1)</f>
        <v>0</v>
      </c>
      <c r="P102" s="7">
        <f>IFERROR(CLEAN_TABLE[[#This Row],[Savings]]/CLEAN_TABLE[[#This Row],[Income]],0)</f>
        <v>0.61079760209552936</v>
      </c>
      <c r="Q102" s="7">
        <f>IF(CLEAN_TABLE[[#This Row],[Farmer_Type]]="Smart", 1 - (CLEAN_TABLE[[#This Row],[Irrigation]] / 70), 1 - (CLEAN_TABLE[[#This Row],[Irrigation]] / 150))</f>
        <v>0.82257142857142851</v>
      </c>
      <c r="R1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1580.44</v>
      </c>
    </row>
    <row r="103" spans="1:19">
      <c r="A103" s="6">
        <f>FARM_DATA[[#This Row],[Date]]</f>
        <v>45484</v>
      </c>
      <c r="B103" s="5" t="str">
        <f>FARM_DATA[[#This Row],[Farmer_Type]]</f>
        <v>Smart</v>
      </c>
      <c r="C103" s="8">
        <f>FARM_DATA[[#This Row],[Income]]</f>
        <v>1201.1500000000001</v>
      </c>
      <c r="D103" s="8">
        <f>FARM_DATA[[#This Row],[Irrigation]]</f>
        <v>10.53</v>
      </c>
      <c r="E103" s="8">
        <f>FARM_DATA[[#This Row],[Seeds]]</f>
        <v>56.26</v>
      </c>
      <c r="F103" s="8">
        <f>FARM_DATA[[#This Row],[Fertilizer]]</f>
        <v>66.81</v>
      </c>
      <c r="G103" s="8">
        <f>FARM_DATA[[#This Row],[Labor]]</f>
        <v>123.94</v>
      </c>
      <c r="H103" s="8">
        <f>FARM_DATA[[#This Row],[Household]]</f>
        <v>176.88</v>
      </c>
      <c r="I103" s="8">
        <f>FARM_DATA[[#This Row],[Medical]]</f>
        <v>31.29</v>
      </c>
      <c r="J103" s="8">
        <f>FARM_DATA[[#This Row],[Misc]]</f>
        <v>17.72</v>
      </c>
      <c r="K103" s="8">
        <f>FARM_DATA[[#This Row],[Total_Expenses]]</f>
        <v>483.42</v>
      </c>
      <c r="L103" s="30">
        <f>FARM_DATA[[#This Row],[Savings]]</f>
        <v>717.73</v>
      </c>
      <c r="M103" s="5" t="str">
        <f>TEXT(CLEAN_TABLE[[#This Row],[Date]], "mmm")</f>
        <v>Jul</v>
      </c>
      <c r="N103" s="5">
        <f>YEAR(CLEAN_TABLE[[#This Row],[Date]])</f>
        <v>2024</v>
      </c>
      <c r="O103" s="5">
        <f>IF(CLEAN_TABLE[[#This Row],[Farmer_Type]]="Smart",0,1)</f>
        <v>0</v>
      </c>
      <c r="P103" s="7">
        <f>IFERROR(CLEAN_TABLE[[#This Row],[Savings]]/CLEAN_TABLE[[#This Row],[Income]],0)</f>
        <v>0.59753569495899761</v>
      </c>
      <c r="Q103" s="7">
        <f>IF(CLEAN_TABLE[[#This Row],[Farmer_Type]]="Smart", 1 - (CLEAN_TABLE[[#This Row],[Irrigation]] / 70), 1 - (CLEAN_TABLE[[#This Row],[Irrigation]] / 150))</f>
        <v>0.84957142857142864</v>
      </c>
      <c r="R1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1684.5800000000002</v>
      </c>
    </row>
    <row r="104" spans="1:19">
      <c r="A104" s="6">
        <f>FARM_DATA[[#This Row],[Date]]</f>
        <v>45485</v>
      </c>
      <c r="B104" s="5" t="str">
        <f>FARM_DATA[[#This Row],[Farmer_Type]]</f>
        <v>Traditional</v>
      </c>
      <c r="C104" s="8">
        <f>FARM_DATA[[#This Row],[Income]]</f>
        <v>363.35</v>
      </c>
      <c r="D104" s="8">
        <f>FARM_DATA[[#This Row],[Irrigation]]</f>
        <v>78.900000000000006</v>
      </c>
      <c r="E104" s="8">
        <f>FARM_DATA[[#This Row],[Seeds]]</f>
        <v>41.23</v>
      </c>
      <c r="F104" s="8">
        <f>FARM_DATA[[#This Row],[Fertilizer]]</f>
        <v>76.31</v>
      </c>
      <c r="G104" s="8">
        <f>FARM_DATA[[#This Row],[Labor]]</f>
        <v>97.07</v>
      </c>
      <c r="H104" s="8">
        <f>FARM_DATA[[#This Row],[Household]]</f>
        <v>192.28</v>
      </c>
      <c r="I104" s="8">
        <f>FARM_DATA[[#This Row],[Medical]]</f>
        <v>38.39</v>
      </c>
      <c r="J104" s="8">
        <f>FARM_DATA[[#This Row],[Misc]]</f>
        <v>25.65</v>
      </c>
      <c r="K104" s="8">
        <f>FARM_DATA[[#This Row],[Total_Expenses]]</f>
        <v>549.83000000000004</v>
      </c>
      <c r="L104" s="30">
        <f>FARM_DATA[[#This Row],[Savings]]</f>
        <v>-186.47</v>
      </c>
      <c r="M104" s="5" t="str">
        <f>TEXT(CLEAN_TABLE[[#This Row],[Date]], "mmm")</f>
        <v>Jul</v>
      </c>
      <c r="N104" s="5">
        <f>YEAR(CLEAN_TABLE[[#This Row],[Date]])</f>
        <v>2024</v>
      </c>
      <c r="O104" s="5">
        <f>IF(CLEAN_TABLE[[#This Row],[Farmer_Type]]="Smart",0,1)</f>
        <v>1</v>
      </c>
      <c r="P104" s="7">
        <f>IFERROR(CLEAN_TABLE[[#This Row],[Savings]]/CLEAN_TABLE[[#This Row],[Income]],0)</f>
        <v>-0.51319664235585516</v>
      </c>
      <c r="Q104" s="7">
        <f>IF(CLEAN_TABLE[[#This Row],[Farmer_Type]]="Smart", 1 - (CLEAN_TABLE[[#This Row],[Irrigation]] / 70), 1 - (CLEAN_TABLE[[#This Row],[Irrigation]] / 150))</f>
        <v>0.47399999999999998</v>
      </c>
      <c r="R1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913.17999999999984</v>
      </c>
    </row>
    <row r="105" spans="1:19">
      <c r="A105" s="6">
        <f>FARM_DATA[[#This Row],[Date]]</f>
        <v>45486</v>
      </c>
      <c r="B105" s="5" t="str">
        <f>FARM_DATA[[#This Row],[Farmer_Type]]</f>
        <v>Smart</v>
      </c>
      <c r="C105" s="8">
        <f>FARM_DATA[[#This Row],[Income]]</f>
        <v>860.9</v>
      </c>
      <c r="D105" s="8">
        <f>FARM_DATA[[#This Row],[Irrigation]]</f>
        <v>22.27</v>
      </c>
      <c r="E105" s="8">
        <f>FARM_DATA[[#This Row],[Seeds]]</f>
        <v>91.59</v>
      </c>
      <c r="F105" s="8">
        <f>FARM_DATA[[#This Row],[Fertilizer]]</f>
        <v>64.31</v>
      </c>
      <c r="G105" s="8">
        <f>FARM_DATA[[#This Row],[Labor]]</f>
        <v>86.6</v>
      </c>
      <c r="H105" s="8">
        <f>FARM_DATA[[#This Row],[Household]]</f>
        <v>160.13999999999999</v>
      </c>
      <c r="I105" s="8">
        <f>FARM_DATA[[#This Row],[Medical]]</f>
        <v>9.9</v>
      </c>
      <c r="J105" s="8">
        <f>FARM_DATA[[#This Row],[Misc]]</f>
        <v>26.22</v>
      </c>
      <c r="K105" s="8">
        <f>FARM_DATA[[#This Row],[Total_Expenses]]</f>
        <v>461.03</v>
      </c>
      <c r="L105" s="30">
        <f>FARM_DATA[[#This Row],[Savings]]</f>
        <v>399.87</v>
      </c>
      <c r="M105" s="5" t="str">
        <f>TEXT(CLEAN_TABLE[[#This Row],[Date]], "mmm")</f>
        <v>Jul</v>
      </c>
      <c r="N105" s="5">
        <f>YEAR(CLEAN_TABLE[[#This Row],[Date]])</f>
        <v>2024</v>
      </c>
      <c r="O105" s="5">
        <f>IF(CLEAN_TABLE[[#This Row],[Farmer_Type]]="Smart",0,1)</f>
        <v>0</v>
      </c>
      <c r="P105" s="7">
        <f>IFERROR(CLEAN_TABLE[[#This Row],[Savings]]/CLEAN_TABLE[[#This Row],[Income]],0)</f>
        <v>0.46447903356952031</v>
      </c>
      <c r="Q105" s="7">
        <f>IF(CLEAN_TABLE[[#This Row],[Farmer_Type]]="Smart", 1 - (CLEAN_TABLE[[#This Row],[Irrigation]] / 70), 1 - (CLEAN_TABLE[[#This Row],[Irrigation]] / 150))</f>
        <v>0.68185714285714294</v>
      </c>
      <c r="R1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1321.93</v>
      </c>
    </row>
    <row r="106" spans="1:19">
      <c r="A106" s="6">
        <f>FARM_DATA[[#This Row],[Date]]</f>
        <v>45487</v>
      </c>
      <c r="B106" s="5" t="str">
        <f>FARM_DATA[[#This Row],[Farmer_Type]]</f>
        <v>Smart</v>
      </c>
      <c r="C106" s="8">
        <f>FARM_DATA[[#This Row],[Income]]</f>
        <v>749.17</v>
      </c>
      <c r="D106" s="8">
        <f>FARM_DATA[[#This Row],[Irrigation]]</f>
        <v>11.16</v>
      </c>
      <c r="E106" s="8">
        <f>FARM_DATA[[#This Row],[Seeds]]</f>
        <v>59.31</v>
      </c>
      <c r="F106" s="8">
        <f>FARM_DATA[[#This Row],[Fertilizer]]</f>
        <v>87.03</v>
      </c>
      <c r="G106" s="8">
        <f>FARM_DATA[[#This Row],[Labor]]</f>
        <v>126.01</v>
      </c>
      <c r="H106" s="8">
        <f>FARM_DATA[[#This Row],[Household]]</f>
        <v>135.06</v>
      </c>
      <c r="I106" s="8">
        <f>FARM_DATA[[#This Row],[Medical]]</f>
        <v>30.86</v>
      </c>
      <c r="J106" s="8">
        <f>FARM_DATA[[#This Row],[Misc]]</f>
        <v>36.79</v>
      </c>
      <c r="K106" s="8">
        <f>FARM_DATA[[#This Row],[Total_Expenses]]</f>
        <v>486.21</v>
      </c>
      <c r="L106" s="30">
        <f>FARM_DATA[[#This Row],[Savings]]</f>
        <v>262.95999999999998</v>
      </c>
      <c r="M106" s="5" t="str">
        <f>TEXT(CLEAN_TABLE[[#This Row],[Date]], "mmm")</f>
        <v>Jul</v>
      </c>
      <c r="N106" s="5">
        <f>YEAR(CLEAN_TABLE[[#This Row],[Date]])</f>
        <v>2024</v>
      </c>
      <c r="O106" s="5">
        <f>IF(CLEAN_TABLE[[#This Row],[Farmer_Type]]="Smart",0,1)</f>
        <v>0</v>
      </c>
      <c r="P106" s="7">
        <f>IFERROR(CLEAN_TABLE[[#This Row],[Savings]]/CLEAN_TABLE[[#This Row],[Income]],0)</f>
        <v>0.35100177529799642</v>
      </c>
      <c r="Q106" s="7">
        <f>IF(CLEAN_TABLE[[#This Row],[Farmer_Type]]="Smart", 1 - (CLEAN_TABLE[[#This Row],[Irrigation]] / 70), 1 - (CLEAN_TABLE[[#This Row],[Irrigation]] / 150))</f>
        <v>0.84057142857142852</v>
      </c>
      <c r="R1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1235.3899999999996</v>
      </c>
    </row>
    <row r="107" spans="1:19">
      <c r="A107" s="6">
        <f>FARM_DATA[[#This Row],[Date]]</f>
        <v>45488</v>
      </c>
      <c r="B107" s="5" t="str">
        <f>FARM_DATA[[#This Row],[Farmer_Type]]</f>
        <v>Smart</v>
      </c>
      <c r="C107" s="8">
        <f>FARM_DATA[[#This Row],[Income]]</f>
        <v>940.11</v>
      </c>
      <c r="D107" s="8">
        <f>FARM_DATA[[#This Row],[Irrigation]]</f>
        <v>18.37</v>
      </c>
      <c r="E107" s="8">
        <f>FARM_DATA[[#This Row],[Seeds]]</f>
        <v>37.549999999999997</v>
      </c>
      <c r="F107" s="8">
        <f>FARM_DATA[[#This Row],[Fertilizer]]</f>
        <v>91.47</v>
      </c>
      <c r="G107" s="8">
        <f>FARM_DATA[[#This Row],[Labor]]</f>
        <v>98.33</v>
      </c>
      <c r="H107" s="8">
        <f>FARM_DATA[[#This Row],[Household]]</f>
        <v>187.24</v>
      </c>
      <c r="I107" s="8">
        <f>FARM_DATA[[#This Row],[Medical]]</f>
        <v>24.6</v>
      </c>
      <c r="J107" s="8">
        <f>FARM_DATA[[#This Row],[Misc]]</f>
        <v>76.83</v>
      </c>
      <c r="K107" s="8">
        <f>FARM_DATA[[#This Row],[Total_Expenses]]</f>
        <v>534.39</v>
      </c>
      <c r="L107" s="30">
        <f>FARM_DATA[[#This Row],[Savings]]</f>
        <v>405.72</v>
      </c>
      <c r="M107" s="5" t="str">
        <f>TEXT(CLEAN_TABLE[[#This Row],[Date]], "mmm")</f>
        <v>Jul</v>
      </c>
      <c r="N107" s="5">
        <f>YEAR(CLEAN_TABLE[[#This Row],[Date]])</f>
        <v>2024</v>
      </c>
      <c r="O107" s="5">
        <f>IF(CLEAN_TABLE[[#This Row],[Farmer_Type]]="Smart",0,1)</f>
        <v>0</v>
      </c>
      <c r="P107" s="7">
        <f>IFERROR(CLEAN_TABLE[[#This Row],[Savings]]/CLEAN_TABLE[[#This Row],[Income]],0)</f>
        <v>0.43156651881162844</v>
      </c>
      <c r="Q107" s="7">
        <f>IF(CLEAN_TABLE[[#This Row],[Farmer_Type]]="Smart", 1 - (CLEAN_TABLE[[#This Row],[Irrigation]] / 70), 1 - (CLEAN_TABLE[[#This Row],[Irrigation]] / 150))</f>
        <v>0.73757142857142854</v>
      </c>
      <c r="R1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1474.4999999999998</v>
      </c>
    </row>
    <row r="108" spans="1:19">
      <c r="A108" s="6">
        <f>FARM_DATA[[#This Row],[Date]]</f>
        <v>45489</v>
      </c>
      <c r="B108" s="5" t="str">
        <f>FARM_DATA[[#This Row],[Farmer_Type]]</f>
        <v>Smart</v>
      </c>
      <c r="C108" s="8">
        <f>FARM_DATA[[#This Row],[Income]]</f>
        <v>822.45</v>
      </c>
      <c r="D108" s="8">
        <f>FARM_DATA[[#This Row],[Irrigation]]</f>
        <v>12.35</v>
      </c>
      <c r="E108" s="8">
        <f>FARM_DATA[[#This Row],[Seeds]]</f>
        <v>47.54</v>
      </c>
      <c r="F108" s="8">
        <f>FARM_DATA[[#This Row],[Fertilizer]]</f>
        <v>63.34</v>
      </c>
      <c r="G108" s="8">
        <f>FARM_DATA[[#This Row],[Labor]]</f>
        <v>82.25</v>
      </c>
      <c r="H108" s="8">
        <f>FARM_DATA[[#This Row],[Household]]</f>
        <v>211.62</v>
      </c>
      <c r="I108" s="8">
        <f>FARM_DATA[[#This Row],[Medical]]</f>
        <v>34.78</v>
      </c>
      <c r="J108" s="8">
        <f>FARM_DATA[[#This Row],[Misc]]</f>
        <v>31.44</v>
      </c>
      <c r="K108" s="8">
        <f>FARM_DATA[[#This Row],[Total_Expenses]]</f>
        <v>483.31</v>
      </c>
      <c r="L108" s="30">
        <f>FARM_DATA[[#This Row],[Savings]]</f>
        <v>339.14</v>
      </c>
      <c r="M108" s="5" t="str">
        <f>TEXT(CLEAN_TABLE[[#This Row],[Date]], "mmm")</f>
        <v>Jul</v>
      </c>
      <c r="N108" s="5">
        <f>YEAR(CLEAN_TABLE[[#This Row],[Date]])</f>
        <v>2024</v>
      </c>
      <c r="O108" s="5">
        <f>IF(CLEAN_TABLE[[#This Row],[Farmer_Type]]="Smart",0,1)</f>
        <v>0</v>
      </c>
      <c r="P108" s="7">
        <f>IFERROR(CLEAN_TABLE[[#This Row],[Savings]]/CLEAN_TABLE[[#This Row],[Income]],0)</f>
        <v>0.41235333454921269</v>
      </c>
      <c r="Q108" s="7">
        <f>IF(CLEAN_TABLE[[#This Row],[Farmer_Type]]="Smart", 1 - (CLEAN_TABLE[[#This Row],[Irrigation]] / 70), 1 - (CLEAN_TABLE[[#This Row],[Irrigation]] / 150))</f>
        <v>0.82357142857142862</v>
      </c>
      <c r="R1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1305.7700000000002</v>
      </c>
    </row>
    <row r="109" spans="1:19">
      <c r="A109" s="6">
        <f>FARM_DATA[[#This Row],[Date]]</f>
        <v>45490</v>
      </c>
      <c r="B109" s="5" t="str">
        <f>FARM_DATA[[#This Row],[Farmer_Type]]</f>
        <v>Traditional</v>
      </c>
      <c r="C109" s="8">
        <f>FARM_DATA[[#This Row],[Income]]</f>
        <v>308.38</v>
      </c>
      <c r="D109" s="8">
        <f>FARM_DATA[[#This Row],[Irrigation]]</f>
        <v>74.709999999999994</v>
      </c>
      <c r="E109" s="8">
        <f>FARM_DATA[[#This Row],[Seeds]]</f>
        <v>31.72</v>
      </c>
      <c r="F109" s="8">
        <f>FARM_DATA[[#This Row],[Fertilizer]]</f>
        <v>67.66</v>
      </c>
      <c r="G109" s="8">
        <f>FARM_DATA[[#This Row],[Labor]]</f>
        <v>115.07</v>
      </c>
      <c r="H109" s="8">
        <f>FARM_DATA[[#This Row],[Household]]</f>
        <v>104.53</v>
      </c>
      <c r="I109" s="8">
        <f>FARM_DATA[[#This Row],[Medical]]</f>
        <v>32.380000000000003</v>
      </c>
      <c r="J109" s="8">
        <f>FARM_DATA[[#This Row],[Misc]]</f>
        <v>51.55</v>
      </c>
      <c r="K109" s="8">
        <f>FARM_DATA[[#This Row],[Total_Expenses]]</f>
        <v>477.62</v>
      </c>
      <c r="L109" s="30">
        <f>FARM_DATA[[#This Row],[Savings]]</f>
        <v>-169.24</v>
      </c>
      <c r="M109" s="5" t="str">
        <f>TEXT(CLEAN_TABLE[[#This Row],[Date]], "mmm")</f>
        <v>Jul</v>
      </c>
      <c r="N109" s="5">
        <f>YEAR(CLEAN_TABLE[[#This Row],[Date]])</f>
        <v>2024</v>
      </c>
      <c r="O109" s="5">
        <f>IF(CLEAN_TABLE[[#This Row],[Farmer_Type]]="Smart",0,1)</f>
        <v>1</v>
      </c>
      <c r="P109" s="7">
        <f>IFERROR(CLEAN_TABLE[[#This Row],[Savings]]/CLEAN_TABLE[[#This Row],[Income]],0)</f>
        <v>-0.54880342434658547</v>
      </c>
      <c r="Q109" s="7">
        <f>IF(CLEAN_TABLE[[#This Row],[Farmer_Type]]="Smart", 1 - (CLEAN_TABLE[[#This Row],[Irrigation]] / 70), 1 - (CLEAN_TABLE[[#This Row],[Irrigation]] / 150))</f>
        <v>0.50193333333333334</v>
      </c>
      <c r="R1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785.99999999999989</v>
      </c>
    </row>
    <row r="110" spans="1:19">
      <c r="A110" s="6">
        <f>FARM_DATA[[#This Row],[Date]]</f>
        <v>45491</v>
      </c>
      <c r="B110" s="5" t="str">
        <f>FARM_DATA[[#This Row],[Farmer_Type]]</f>
        <v>Smart</v>
      </c>
      <c r="C110" s="8">
        <f>FARM_DATA[[#This Row],[Income]]</f>
        <v>827.44</v>
      </c>
      <c r="D110" s="8">
        <f>FARM_DATA[[#This Row],[Irrigation]]</f>
        <v>13.06</v>
      </c>
      <c r="E110" s="8">
        <f>FARM_DATA[[#This Row],[Seeds]]</f>
        <v>65.72</v>
      </c>
      <c r="F110" s="8">
        <f>FARM_DATA[[#This Row],[Fertilizer]]</f>
        <v>90.03</v>
      </c>
      <c r="G110" s="8">
        <f>FARM_DATA[[#This Row],[Labor]]</f>
        <v>108.17</v>
      </c>
      <c r="H110" s="8">
        <f>FARM_DATA[[#This Row],[Household]]</f>
        <v>240.36</v>
      </c>
      <c r="I110" s="8">
        <f>FARM_DATA[[#This Row],[Medical]]</f>
        <v>20.41</v>
      </c>
      <c r="J110" s="8">
        <f>FARM_DATA[[#This Row],[Misc]]</f>
        <v>28.03</v>
      </c>
      <c r="K110" s="8">
        <f>FARM_DATA[[#This Row],[Total_Expenses]]</f>
        <v>565.77</v>
      </c>
      <c r="L110" s="30">
        <f>FARM_DATA[[#This Row],[Savings]]</f>
        <v>261.67</v>
      </c>
      <c r="M110" s="5" t="str">
        <f>TEXT(CLEAN_TABLE[[#This Row],[Date]], "mmm")</f>
        <v>Jul</v>
      </c>
      <c r="N110" s="5">
        <f>YEAR(CLEAN_TABLE[[#This Row],[Date]])</f>
        <v>2024</v>
      </c>
      <c r="O110" s="5">
        <f>IF(CLEAN_TABLE[[#This Row],[Farmer_Type]]="Smart",0,1)</f>
        <v>0</v>
      </c>
      <c r="P110" s="7">
        <f>IFERROR(CLEAN_TABLE[[#This Row],[Savings]]/CLEAN_TABLE[[#This Row],[Income]],0)</f>
        <v>0.31624045247993809</v>
      </c>
      <c r="Q110" s="7">
        <f>IF(CLEAN_TABLE[[#This Row],[Farmer_Type]]="Smart", 1 - (CLEAN_TABLE[[#This Row],[Irrigation]] / 70), 1 - (CLEAN_TABLE[[#This Row],[Irrigation]] / 150))</f>
        <v>0.81342857142857139</v>
      </c>
      <c r="R1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1393.2200000000003</v>
      </c>
    </row>
    <row r="111" spans="1:19">
      <c r="A111" s="6">
        <f>FARM_DATA[[#This Row],[Date]]</f>
        <v>45492</v>
      </c>
      <c r="B111" s="5" t="str">
        <f>FARM_DATA[[#This Row],[Farmer_Type]]</f>
        <v>Traditional</v>
      </c>
      <c r="C111" s="8">
        <f>FARM_DATA[[#This Row],[Income]]</f>
        <v>281.02999999999997</v>
      </c>
      <c r="D111" s="8">
        <f>FARM_DATA[[#This Row],[Irrigation]]</f>
        <v>62.69</v>
      </c>
      <c r="E111" s="8">
        <f>FARM_DATA[[#This Row],[Seeds]]</f>
        <v>39.5</v>
      </c>
      <c r="F111" s="8">
        <f>FARM_DATA[[#This Row],[Fertilizer]]</f>
        <v>90.89</v>
      </c>
      <c r="G111" s="8">
        <f>FARM_DATA[[#This Row],[Labor]]</f>
        <v>97.06</v>
      </c>
      <c r="H111" s="8">
        <f>FARM_DATA[[#This Row],[Household]]</f>
        <v>156.71</v>
      </c>
      <c r="I111" s="8">
        <f>FARM_DATA[[#This Row],[Medical]]</f>
        <v>19.87</v>
      </c>
      <c r="J111" s="8">
        <f>FARM_DATA[[#This Row],[Misc]]</f>
        <v>44.26</v>
      </c>
      <c r="K111" s="8">
        <f>FARM_DATA[[#This Row],[Total_Expenses]]</f>
        <v>510.99</v>
      </c>
      <c r="L111" s="30">
        <f>FARM_DATA[[#This Row],[Savings]]</f>
        <v>-229.95</v>
      </c>
      <c r="M111" s="5" t="str">
        <f>TEXT(CLEAN_TABLE[[#This Row],[Date]], "mmm")</f>
        <v>Jul</v>
      </c>
      <c r="N111" s="5">
        <f>YEAR(CLEAN_TABLE[[#This Row],[Date]])</f>
        <v>2024</v>
      </c>
      <c r="O111" s="5">
        <f>IF(CLEAN_TABLE[[#This Row],[Farmer_Type]]="Smart",0,1)</f>
        <v>1</v>
      </c>
      <c r="P111" s="7">
        <f>IFERROR(CLEAN_TABLE[[#This Row],[Savings]]/CLEAN_TABLE[[#This Row],[Income]],0)</f>
        <v>-0.81824004554673879</v>
      </c>
      <c r="Q111" s="7">
        <f>IF(CLEAN_TABLE[[#This Row],[Farmer_Type]]="Smart", 1 - (CLEAN_TABLE[[#This Row],[Irrigation]] / 70), 1 - (CLEAN_TABLE[[#This Row],[Irrigation]] / 150))</f>
        <v>0.58206666666666673</v>
      </c>
      <c r="R1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792.01</v>
      </c>
    </row>
    <row r="112" spans="1:19">
      <c r="A112" s="6">
        <f>FARM_DATA[[#This Row],[Date]]</f>
        <v>45493</v>
      </c>
      <c r="B112" s="5" t="str">
        <f>FARM_DATA[[#This Row],[Farmer_Type]]</f>
        <v>Traditional</v>
      </c>
      <c r="C112" s="8">
        <f>FARM_DATA[[#This Row],[Income]]</f>
        <v>476.35</v>
      </c>
      <c r="D112" s="8">
        <f>FARM_DATA[[#This Row],[Irrigation]]</f>
        <v>64.69</v>
      </c>
      <c r="E112" s="8">
        <f>FARM_DATA[[#This Row],[Seeds]]</f>
        <v>32.659999999999997</v>
      </c>
      <c r="F112" s="8">
        <f>FARM_DATA[[#This Row],[Fertilizer]]</f>
        <v>75.88</v>
      </c>
      <c r="G112" s="8">
        <f>FARM_DATA[[#This Row],[Labor]]</f>
        <v>127.05</v>
      </c>
      <c r="H112" s="8">
        <f>FARM_DATA[[#This Row],[Household]]</f>
        <v>205.4</v>
      </c>
      <c r="I112" s="8">
        <f>FARM_DATA[[#This Row],[Medical]]</f>
        <v>24.67</v>
      </c>
      <c r="J112" s="8">
        <f>FARM_DATA[[#This Row],[Misc]]</f>
        <v>25.69</v>
      </c>
      <c r="K112" s="8">
        <f>FARM_DATA[[#This Row],[Total_Expenses]]</f>
        <v>556.04</v>
      </c>
      <c r="L112" s="30">
        <f>FARM_DATA[[#This Row],[Savings]]</f>
        <v>-79.69</v>
      </c>
      <c r="M112" s="5" t="str">
        <f>TEXT(CLEAN_TABLE[[#This Row],[Date]], "mmm")</f>
        <v>Jul</v>
      </c>
      <c r="N112" s="5">
        <f>YEAR(CLEAN_TABLE[[#This Row],[Date]])</f>
        <v>2024</v>
      </c>
      <c r="O112" s="5">
        <f>IF(CLEAN_TABLE[[#This Row],[Farmer_Type]]="Smart",0,1)</f>
        <v>1</v>
      </c>
      <c r="P112" s="7">
        <f>IFERROR(CLEAN_TABLE[[#This Row],[Savings]]/CLEAN_TABLE[[#This Row],[Income]],0)</f>
        <v>-0.16729295685945206</v>
      </c>
      <c r="Q112" s="7">
        <f>IF(CLEAN_TABLE[[#This Row],[Farmer_Type]]="Smart", 1 - (CLEAN_TABLE[[#This Row],[Irrigation]] / 70), 1 - (CLEAN_TABLE[[#This Row],[Irrigation]] / 150))</f>
        <v>0.56873333333333331</v>
      </c>
      <c r="R1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1032.3899999999999</v>
      </c>
    </row>
    <row r="113" spans="1:19">
      <c r="A113" s="6">
        <f>FARM_DATA[[#This Row],[Date]]</f>
        <v>45494</v>
      </c>
      <c r="B113" s="5" t="str">
        <f>FARM_DATA[[#This Row],[Farmer_Type]]</f>
        <v>Traditional</v>
      </c>
      <c r="C113" s="8">
        <f>FARM_DATA[[#This Row],[Income]]</f>
        <v>379.53</v>
      </c>
      <c r="D113" s="8">
        <f>FARM_DATA[[#This Row],[Irrigation]]</f>
        <v>81.09</v>
      </c>
      <c r="E113" s="8">
        <f>FARM_DATA[[#This Row],[Seeds]]</f>
        <v>52.31</v>
      </c>
      <c r="F113" s="8">
        <f>FARM_DATA[[#This Row],[Fertilizer]]</f>
        <v>65.150000000000006</v>
      </c>
      <c r="G113" s="8">
        <f>FARM_DATA[[#This Row],[Labor]]</f>
        <v>136.66999999999999</v>
      </c>
      <c r="H113" s="8">
        <f>FARM_DATA[[#This Row],[Household]]</f>
        <v>185.08</v>
      </c>
      <c r="I113" s="8">
        <f>FARM_DATA[[#This Row],[Medical]]</f>
        <v>31.06</v>
      </c>
      <c r="J113" s="8">
        <f>FARM_DATA[[#This Row],[Misc]]</f>
        <v>37.78</v>
      </c>
      <c r="K113" s="8">
        <f>FARM_DATA[[#This Row],[Total_Expenses]]</f>
        <v>589.13</v>
      </c>
      <c r="L113" s="30">
        <f>FARM_DATA[[#This Row],[Savings]]</f>
        <v>-209.59</v>
      </c>
      <c r="M113" s="5" t="str">
        <f>TEXT(CLEAN_TABLE[[#This Row],[Date]], "mmm")</f>
        <v>Jul</v>
      </c>
      <c r="N113" s="5">
        <f>YEAR(CLEAN_TABLE[[#This Row],[Date]])</f>
        <v>2024</v>
      </c>
      <c r="O113" s="5">
        <f>IF(CLEAN_TABLE[[#This Row],[Farmer_Type]]="Smart",0,1)</f>
        <v>1</v>
      </c>
      <c r="P113" s="7">
        <f>IFERROR(CLEAN_TABLE[[#This Row],[Savings]]/CLEAN_TABLE[[#This Row],[Income]],0)</f>
        <v>-0.55223565989513346</v>
      </c>
      <c r="Q113" s="7">
        <f>IF(CLEAN_TABLE[[#This Row],[Farmer_Type]]="Smart", 1 - (CLEAN_TABLE[[#This Row],[Irrigation]] / 70), 1 - (CLEAN_TABLE[[#This Row],[Irrigation]] / 150))</f>
        <v>0.45940000000000003</v>
      </c>
      <c r="R1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968.67</v>
      </c>
    </row>
    <row r="114" spans="1:19">
      <c r="A114" s="6">
        <f>FARM_DATA[[#This Row],[Date]]</f>
        <v>45495</v>
      </c>
      <c r="B114" s="5" t="str">
        <f>FARM_DATA[[#This Row],[Farmer_Type]]</f>
        <v>Traditional</v>
      </c>
      <c r="C114" s="8">
        <f>FARM_DATA[[#This Row],[Income]]</f>
        <v>341.64</v>
      </c>
      <c r="D114" s="8">
        <f>FARM_DATA[[#This Row],[Irrigation]]</f>
        <v>71.47</v>
      </c>
      <c r="E114" s="8">
        <f>FARM_DATA[[#This Row],[Seeds]]</f>
        <v>58.1</v>
      </c>
      <c r="F114" s="8">
        <f>FARM_DATA[[#This Row],[Fertilizer]]</f>
        <v>38.659999999999997</v>
      </c>
      <c r="G114" s="8">
        <f>FARM_DATA[[#This Row],[Labor]]</f>
        <v>119.22</v>
      </c>
      <c r="H114" s="8">
        <f>FARM_DATA[[#This Row],[Household]]</f>
        <v>138.19999999999999</v>
      </c>
      <c r="I114" s="8">
        <f>FARM_DATA[[#This Row],[Medical]]</f>
        <v>20.23</v>
      </c>
      <c r="J114" s="8">
        <f>FARM_DATA[[#This Row],[Misc]]</f>
        <v>45.34</v>
      </c>
      <c r="K114" s="8">
        <f>FARM_DATA[[#This Row],[Total_Expenses]]</f>
        <v>491.21</v>
      </c>
      <c r="L114" s="30">
        <f>FARM_DATA[[#This Row],[Savings]]</f>
        <v>-149.57</v>
      </c>
      <c r="M114" s="5" t="str">
        <f>TEXT(CLEAN_TABLE[[#This Row],[Date]], "mmm")</f>
        <v>Jul</v>
      </c>
      <c r="N114" s="5">
        <f>YEAR(CLEAN_TABLE[[#This Row],[Date]])</f>
        <v>2024</v>
      </c>
      <c r="O114" s="5">
        <f>IF(CLEAN_TABLE[[#This Row],[Farmer_Type]]="Smart",0,1)</f>
        <v>1</v>
      </c>
      <c r="P114" s="7">
        <f>IFERROR(CLEAN_TABLE[[#This Row],[Savings]]/CLEAN_TABLE[[#This Row],[Income]],0)</f>
        <v>-0.43780002341646179</v>
      </c>
      <c r="Q114" s="7">
        <f>IF(CLEAN_TABLE[[#This Row],[Farmer_Type]]="Smart", 1 - (CLEAN_TABLE[[#This Row],[Irrigation]] / 70), 1 - (CLEAN_TABLE[[#This Row],[Irrigation]] / 150))</f>
        <v>0.52353333333333341</v>
      </c>
      <c r="R1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832.86</v>
      </c>
    </row>
    <row r="115" spans="1:19">
      <c r="A115" s="6">
        <f>FARM_DATA[[#This Row],[Date]]</f>
        <v>45496</v>
      </c>
      <c r="B115" s="5" t="str">
        <f>FARM_DATA[[#This Row],[Farmer_Type]]</f>
        <v>Traditional</v>
      </c>
      <c r="C115" s="8">
        <f>FARM_DATA[[#This Row],[Income]]</f>
        <v>359.55</v>
      </c>
      <c r="D115" s="8">
        <f>FARM_DATA[[#This Row],[Irrigation]]</f>
        <v>70.459999999999994</v>
      </c>
      <c r="E115" s="8">
        <f>FARM_DATA[[#This Row],[Seeds]]</f>
        <v>19.600000000000001</v>
      </c>
      <c r="F115" s="8">
        <f>FARM_DATA[[#This Row],[Fertilizer]]</f>
        <v>69.930000000000007</v>
      </c>
      <c r="G115" s="8">
        <f>FARM_DATA[[#This Row],[Labor]]</f>
        <v>126.14</v>
      </c>
      <c r="H115" s="8">
        <f>FARM_DATA[[#This Row],[Household]]</f>
        <v>214.9</v>
      </c>
      <c r="I115" s="8">
        <f>FARM_DATA[[#This Row],[Medical]]</f>
        <v>17.54</v>
      </c>
      <c r="J115" s="8">
        <f>FARM_DATA[[#This Row],[Misc]]</f>
        <v>32.630000000000003</v>
      </c>
      <c r="K115" s="8">
        <f>FARM_DATA[[#This Row],[Total_Expenses]]</f>
        <v>551.19000000000005</v>
      </c>
      <c r="L115" s="30">
        <f>FARM_DATA[[#This Row],[Savings]]</f>
        <v>-191.64</v>
      </c>
      <c r="M115" s="5" t="str">
        <f>TEXT(CLEAN_TABLE[[#This Row],[Date]], "mmm")</f>
        <v>Jul</v>
      </c>
      <c r="N115" s="5">
        <f>YEAR(CLEAN_TABLE[[#This Row],[Date]])</f>
        <v>2024</v>
      </c>
      <c r="O115" s="5">
        <f>IF(CLEAN_TABLE[[#This Row],[Farmer_Type]]="Smart",0,1)</f>
        <v>1</v>
      </c>
      <c r="P115" s="7">
        <f>IFERROR(CLEAN_TABLE[[#This Row],[Savings]]/CLEAN_TABLE[[#This Row],[Income]],0)</f>
        <v>-0.53299958281184812</v>
      </c>
      <c r="Q115" s="7">
        <f>IF(CLEAN_TABLE[[#This Row],[Farmer_Type]]="Smart", 1 - (CLEAN_TABLE[[#This Row],[Irrigation]] / 70), 1 - (CLEAN_TABLE[[#This Row],[Irrigation]] / 150))</f>
        <v>0.53026666666666666</v>
      </c>
      <c r="R1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910.74999999999989</v>
      </c>
    </row>
    <row r="116" spans="1:19">
      <c r="A116" s="6">
        <f>FARM_DATA[[#This Row],[Date]]</f>
        <v>45497</v>
      </c>
      <c r="B116" s="5" t="str">
        <f>FARM_DATA[[#This Row],[Farmer_Type]]</f>
        <v>Smart</v>
      </c>
      <c r="C116" s="8">
        <f>FARM_DATA[[#This Row],[Income]]</f>
        <v>999.88</v>
      </c>
      <c r="D116" s="8">
        <f>FARM_DATA[[#This Row],[Irrigation]]</f>
        <v>22.89</v>
      </c>
      <c r="E116" s="8">
        <f>FARM_DATA[[#This Row],[Seeds]]</f>
        <v>58.09</v>
      </c>
      <c r="F116" s="8">
        <f>FARM_DATA[[#This Row],[Fertilizer]]</f>
        <v>88.37</v>
      </c>
      <c r="G116" s="8">
        <f>FARM_DATA[[#This Row],[Labor]]</f>
        <v>107.16</v>
      </c>
      <c r="H116" s="8">
        <f>FARM_DATA[[#This Row],[Household]]</f>
        <v>176.53</v>
      </c>
      <c r="I116" s="8">
        <f>FARM_DATA[[#This Row],[Medical]]</f>
        <v>17.98</v>
      </c>
      <c r="J116" s="8">
        <f>FARM_DATA[[#This Row],[Misc]]</f>
        <v>42.91</v>
      </c>
      <c r="K116" s="8">
        <f>FARM_DATA[[#This Row],[Total_Expenses]]</f>
        <v>513.92999999999995</v>
      </c>
      <c r="L116" s="30">
        <f>FARM_DATA[[#This Row],[Savings]]</f>
        <v>485.94</v>
      </c>
      <c r="M116" s="5" t="str">
        <f>TEXT(CLEAN_TABLE[[#This Row],[Date]], "mmm")</f>
        <v>Jul</v>
      </c>
      <c r="N116" s="5">
        <f>YEAR(CLEAN_TABLE[[#This Row],[Date]])</f>
        <v>2024</v>
      </c>
      <c r="O116" s="5">
        <f>IF(CLEAN_TABLE[[#This Row],[Farmer_Type]]="Smart",0,1)</f>
        <v>0</v>
      </c>
      <c r="P116" s="7">
        <f>IFERROR(CLEAN_TABLE[[#This Row],[Savings]]/CLEAN_TABLE[[#This Row],[Income]],0)</f>
        <v>0.48599831979837582</v>
      </c>
      <c r="Q116" s="7">
        <f>IF(CLEAN_TABLE[[#This Row],[Farmer_Type]]="Smart", 1 - (CLEAN_TABLE[[#This Row],[Irrigation]] / 70), 1 - (CLEAN_TABLE[[#This Row],[Irrigation]] / 150))</f>
        <v>0.67300000000000004</v>
      </c>
      <c r="R1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1513.8100000000002</v>
      </c>
    </row>
    <row r="117" spans="1:19">
      <c r="A117" s="6">
        <f>FARM_DATA[[#This Row],[Date]]</f>
        <v>45498</v>
      </c>
      <c r="B117" s="5" t="str">
        <f>FARM_DATA[[#This Row],[Farmer_Type]]</f>
        <v>Smart</v>
      </c>
      <c r="C117" s="8">
        <f>FARM_DATA[[#This Row],[Income]]</f>
        <v>1164.73</v>
      </c>
      <c r="D117" s="8">
        <f>FARM_DATA[[#This Row],[Irrigation]]</f>
        <v>9.8699999999999992</v>
      </c>
      <c r="E117" s="8">
        <f>FARM_DATA[[#This Row],[Seeds]]</f>
        <v>62.66</v>
      </c>
      <c r="F117" s="8">
        <f>FARM_DATA[[#This Row],[Fertilizer]]</f>
        <v>59</v>
      </c>
      <c r="G117" s="8">
        <f>FARM_DATA[[#This Row],[Labor]]</f>
        <v>118.9</v>
      </c>
      <c r="H117" s="8">
        <f>FARM_DATA[[#This Row],[Household]]</f>
        <v>116.69</v>
      </c>
      <c r="I117" s="8">
        <f>FARM_DATA[[#This Row],[Medical]]</f>
        <v>16.97</v>
      </c>
      <c r="J117" s="8">
        <f>FARM_DATA[[#This Row],[Misc]]</f>
        <v>45.66</v>
      </c>
      <c r="K117" s="8">
        <f>FARM_DATA[[#This Row],[Total_Expenses]]</f>
        <v>429.74</v>
      </c>
      <c r="L117" s="30">
        <f>FARM_DATA[[#This Row],[Savings]]</f>
        <v>734.99</v>
      </c>
      <c r="M117" s="5" t="str">
        <f>TEXT(CLEAN_TABLE[[#This Row],[Date]], "mmm")</f>
        <v>Jul</v>
      </c>
      <c r="N117" s="5">
        <f>YEAR(CLEAN_TABLE[[#This Row],[Date]])</f>
        <v>2024</v>
      </c>
      <c r="O117" s="5">
        <f>IF(CLEAN_TABLE[[#This Row],[Farmer_Type]]="Smart",0,1)</f>
        <v>0</v>
      </c>
      <c r="P117" s="7">
        <f>IFERROR(CLEAN_TABLE[[#This Row],[Savings]]/CLEAN_TABLE[[#This Row],[Income]],0)</f>
        <v>0.63103895323379666</v>
      </c>
      <c r="Q117" s="7">
        <f>IF(CLEAN_TABLE[[#This Row],[Farmer_Type]]="Smart", 1 - (CLEAN_TABLE[[#This Row],[Irrigation]] / 70), 1 - (CLEAN_TABLE[[#This Row],[Irrigation]] / 150))</f>
        <v>0.85899999999999999</v>
      </c>
      <c r="R1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1594.4800000000002</v>
      </c>
    </row>
    <row r="118" spans="1:19">
      <c r="A118" s="6">
        <f>FARM_DATA[[#This Row],[Date]]</f>
        <v>45499</v>
      </c>
      <c r="B118" s="5" t="str">
        <f>FARM_DATA[[#This Row],[Farmer_Type]]</f>
        <v>Traditional</v>
      </c>
      <c r="C118" s="8">
        <f>FARM_DATA[[#This Row],[Income]]</f>
        <v>428.28</v>
      </c>
      <c r="D118" s="8">
        <f>FARM_DATA[[#This Row],[Irrigation]]</f>
        <v>69.34</v>
      </c>
      <c r="E118" s="8">
        <f>FARM_DATA[[#This Row],[Seeds]]</f>
        <v>31.67</v>
      </c>
      <c r="F118" s="8">
        <f>FARM_DATA[[#This Row],[Fertilizer]]</f>
        <v>92.62</v>
      </c>
      <c r="G118" s="8">
        <f>FARM_DATA[[#This Row],[Labor]]</f>
        <v>73.8</v>
      </c>
      <c r="H118" s="8">
        <f>FARM_DATA[[#This Row],[Household]]</f>
        <v>84.04</v>
      </c>
      <c r="I118" s="8">
        <f>FARM_DATA[[#This Row],[Medical]]</f>
        <v>23.52</v>
      </c>
      <c r="J118" s="8">
        <f>FARM_DATA[[#This Row],[Misc]]</f>
        <v>23.98</v>
      </c>
      <c r="K118" s="8">
        <f>FARM_DATA[[#This Row],[Total_Expenses]]</f>
        <v>398.97</v>
      </c>
      <c r="L118" s="30">
        <f>FARM_DATA[[#This Row],[Savings]]</f>
        <v>29.31</v>
      </c>
      <c r="M118" s="5" t="str">
        <f>TEXT(CLEAN_TABLE[[#This Row],[Date]], "mmm")</f>
        <v>Jul</v>
      </c>
      <c r="N118" s="5">
        <f>YEAR(CLEAN_TABLE[[#This Row],[Date]])</f>
        <v>2024</v>
      </c>
      <c r="O118" s="5">
        <f>IF(CLEAN_TABLE[[#This Row],[Farmer_Type]]="Smart",0,1)</f>
        <v>1</v>
      </c>
      <c r="P118" s="7">
        <f>IFERROR(CLEAN_TABLE[[#This Row],[Savings]]/CLEAN_TABLE[[#This Row],[Income]],0)</f>
        <v>6.8436536845054644E-2</v>
      </c>
      <c r="Q118" s="7">
        <f>IF(CLEAN_TABLE[[#This Row],[Farmer_Type]]="Smart", 1 - (CLEAN_TABLE[[#This Row],[Irrigation]] / 70), 1 - (CLEAN_TABLE[[#This Row],[Irrigation]] / 150))</f>
        <v>0.53773333333333329</v>
      </c>
      <c r="R1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827.24999999999989</v>
      </c>
    </row>
    <row r="119" spans="1:19">
      <c r="A119" s="6">
        <f>FARM_DATA[[#This Row],[Date]]</f>
        <v>45500</v>
      </c>
      <c r="B119" s="5" t="str">
        <f>FARM_DATA[[#This Row],[Farmer_Type]]</f>
        <v>Smart</v>
      </c>
      <c r="C119" s="8">
        <f>FARM_DATA[[#This Row],[Income]]</f>
        <v>745.75</v>
      </c>
      <c r="D119" s="8">
        <f>FARM_DATA[[#This Row],[Irrigation]]</f>
        <v>18.54</v>
      </c>
      <c r="E119" s="8">
        <f>FARM_DATA[[#This Row],[Seeds]]</f>
        <v>64.88</v>
      </c>
      <c r="F119" s="8">
        <f>FARM_DATA[[#This Row],[Fertilizer]]</f>
        <v>63.08</v>
      </c>
      <c r="G119" s="8">
        <f>FARM_DATA[[#This Row],[Labor]]</f>
        <v>69.39</v>
      </c>
      <c r="H119" s="8">
        <f>FARM_DATA[[#This Row],[Household]]</f>
        <v>200.54</v>
      </c>
      <c r="I119" s="8">
        <f>FARM_DATA[[#This Row],[Medical]]</f>
        <v>27.85</v>
      </c>
      <c r="J119" s="8">
        <f>FARM_DATA[[#This Row],[Misc]]</f>
        <v>38.51</v>
      </c>
      <c r="K119" s="8">
        <f>FARM_DATA[[#This Row],[Total_Expenses]]</f>
        <v>482.79</v>
      </c>
      <c r="L119" s="30">
        <f>FARM_DATA[[#This Row],[Savings]]</f>
        <v>262.95999999999998</v>
      </c>
      <c r="M119" s="5" t="str">
        <f>TEXT(CLEAN_TABLE[[#This Row],[Date]], "mmm")</f>
        <v>Jul</v>
      </c>
      <c r="N119" s="5">
        <f>YEAR(CLEAN_TABLE[[#This Row],[Date]])</f>
        <v>2024</v>
      </c>
      <c r="O119" s="5">
        <f>IF(CLEAN_TABLE[[#This Row],[Farmer_Type]]="Smart",0,1)</f>
        <v>0</v>
      </c>
      <c r="P119" s="7">
        <f>IFERROR(CLEAN_TABLE[[#This Row],[Savings]]/CLEAN_TABLE[[#This Row],[Income]],0)</f>
        <v>0.35261146496815282</v>
      </c>
      <c r="Q119" s="7">
        <f>IF(CLEAN_TABLE[[#This Row],[Farmer_Type]]="Smart", 1 - (CLEAN_TABLE[[#This Row],[Irrigation]] / 70), 1 - (CLEAN_TABLE[[#This Row],[Irrigation]] / 150))</f>
        <v>0.7351428571428571</v>
      </c>
      <c r="R1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1228.54</v>
      </c>
    </row>
    <row r="120" spans="1:19">
      <c r="A120" s="6">
        <f>FARM_DATA[[#This Row],[Date]]</f>
        <v>45501</v>
      </c>
      <c r="B120" s="5" t="str">
        <f>FARM_DATA[[#This Row],[Farmer_Type]]</f>
        <v>Traditional</v>
      </c>
      <c r="C120" s="8">
        <f>FARM_DATA[[#This Row],[Income]]</f>
        <v>442.33</v>
      </c>
      <c r="D120" s="8">
        <f>FARM_DATA[[#This Row],[Irrigation]]</f>
        <v>59.3</v>
      </c>
      <c r="E120" s="8">
        <f>FARM_DATA[[#This Row],[Seeds]]</f>
        <v>17.12</v>
      </c>
      <c r="F120" s="8">
        <f>FARM_DATA[[#This Row],[Fertilizer]]</f>
        <v>41.16</v>
      </c>
      <c r="G120" s="8">
        <f>FARM_DATA[[#This Row],[Labor]]</f>
        <v>108.86</v>
      </c>
      <c r="H120" s="8">
        <f>FARM_DATA[[#This Row],[Household]]</f>
        <v>157.30000000000001</v>
      </c>
      <c r="I120" s="8">
        <f>FARM_DATA[[#This Row],[Medical]]</f>
        <v>18.07</v>
      </c>
      <c r="J120" s="8">
        <f>FARM_DATA[[#This Row],[Misc]]</f>
        <v>34.22</v>
      </c>
      <c r="K120" s="8">
        <f>FARM_DATA[[#This Row],[Total_Expenses]]</f>
        <v>436.03</v>
      </c>
      <c r="L120" s="30">
        <f>FARM_DATA[[#This Row],[Savings]]</f>
        <v>6.3</v>
      </c>
      <c r="M120" s="5" t="str">
        <f>TEXT(CLEAN_TABLE[[#This Row],[Date]], "mmm")</f>
        <v>Jul</v>
      </c>
      <c r="N120" s="5">
        <f>YEAR(CLEAN_TABLE[[#This Row],[Date]])</f>
        <v>2024</v>
      </c>
      <c r="O120" s="5">
        <f>IF(CLEAN_TABLE[[#This Row],[Farmer_Type]]="Smart",0,1)</f>
        <v>1</v>
      </c>
      <c r="P120" s="7">
        <f>IFERROR(CLEAN_TABLE[[#This Row],[Savings]]/CLEAN_TABLE[[#This Row],[Income]],0)</f>
        <v>1.4242759930368729E-2</v>
      </c>
      <c r="Q120" s="7">
        <f>IF(CLEAN_TABLE[[#This Row],[Farmer_Type]]="Smart", 1 - (CLEAN_TABLE[[#This Row],[Irrigation]] / 70), 1 - (CLEAN_TABLE[[#This Row],[Irrigation]] / 150))</f>
        <v>0.60466666666666669</v>
      </c>
      <c r="R1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878.36</v>
      </c>
    </row>
    <row r="121" spans="1:19">
      <c r="A121" s="6">
        <f>FARM_DATA[[#This Row],[Date]]</f>
        <v>45502</v>
      </c>
      <c r="B121" s="5" t="str">
        <f>FARM_DATA[[#This Row],[Farmer_Type]]</f>
        <v>Smart</v>
      </c>
      <c r="C121" s="8">
        <f>FARM_DATA[[#This Row],[Income]]</f>
        <v>699.69</v>
      </c>
      <c r="D121" s="8">
        <f>FARM_DATA[[#This Row],[Irrigation]]</f>
        <v>22.22</v>
      </c>
      <c r="E121" s="8">
        <f>FARM_DATA[[#This Row],[Seeds]]</f>
        <v>58.36</v>
      </c>
      <c r="F121" s="8">
        <f>FARM_DATA[[#This Row],[Fertilizer]]</f>
        <v>113.52</v>
      </c>
      <c r="G121" s="8">
        <f>FARM_DATA[[#This Row],[Labor]]</f>
        <v>101.85</v>
      </c>
      <c r="H121" s="8">
        <f>FARM_DATA[[#This Row],[Household]]</f>
        <v>185.99</v>
      </c>
      <c r="I121" s="8">
        <f>FARM_DATA[[#This Row],[Medical]]</f>
        <v>27.13</v>
      </c>
      <c r="J121" s="8">
        <f>FARM_DATA[[#This Row],[Misc]]</f>
        <v>46.72</v>
      </c>
      <c r="K121" s="8">
        <f>FARM_DATA[[#This Row],[Total_Expenses]]</f>
        <v>555.78</v>
      </c>
      <c r="L121" s="30">
        <f>FARM_DATA[[#This Row],[Savings]]</f>
        <v>143.91</v>
      </c>
      <c r="M121" s="5" t="str">
        <f>TEXT(CLEAN_TABLE[[#This Row],[Date]], "mmm")</f>
        <v>Jul</v>
      </c>
      <c r="N121" s="5">
        <f>YEAR(CLEAN_TABLE[[#This Row],[Date]])</f>
        <v>2024</v>
      </c>
      <c r="O121" s="5">
        <f>IF(CLEAN_TABLE[[#This Row],[Farmer_Type]]="Smart",0,1)</f>
        <v>0</v>
      </c>
      <c r="P121" s="7">
        <f>IFERROR(CLEAN_TABLE[[#This Row],[Savings]]/CLEAN_TABLE[[#This Row],[Income]],0)</f>
        <v>0.20567679972559275</v>
      </c>
      <c r="Q121" s="7">
        <f>IF(CLEAN_TABLE[[#This Row],[Farmer_Type]]="Smart", 1 - (CLEAN_TABLE[[#This Row],[Irrigation]] / 70), 1 - (CLEAN_TABLE[[#This Row],[Irrigation]] / 150))</f>
        <v>0.68257142857142861</v>
      </c>
      <c r="R1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1255.4800000000002</v>
      </c>
    </row>
    <row r="122" spans="1:19">
      <c r="A122" s="6">
        <f>FARM_DATA[[#This Row],[Date]]</f>
        <v>45503</v>
      </c>
      <c r="B122" s="5" t="str">
        <f>FARM_DATA[[#This Row],[Farmer_Type]]</f>
        <v>Traditional</v>
      </c>
      <c r="C122" s="8">
        <f>FARM_DATA[[#This Row],[Income]]</f>
        <v>382.14</v>
      </c>
      <c r="D122" s="8">
        <f>FARM_DATA[[#This Row],[Irrigation]]</f>
        <v>83.29</v>
      </c>
      <c r="E122" s="8">
        <f>FARM_DATA[[#This Row],[Seeds]]</f>
        <v>42.95</v>
      </c>
      <c r="F122" s="8">
        <f>FARM_DATA[[#This Row],[Fertilizer]]</f>
        <v>69.180000000000007</v>
      </c>
      <c r="G122" s="8">
        <f>FARM_DATA[[#This Row],[Labor]]</f>
        <v>107.76</v>
      </c>
      <c r="H122" s="8">
        <f>FARM_DATA[[#This Row],[Household]]</f>
        <v>193.2</v>
      </c>
      <c r="I122" s="8">
        <f>FARM_DATA[[#This Row],[Medical]]</f>
        <v>14.59</v>
      </c>
      <c r="J122" s="8">
        <f>FARM_DATA[[#This Row],[Misc]]</f>
        <v>51.61</v>
      </c>
      <c r="K122" s="8">
        <f>FARM_DATA[[#This Row],[Total_Expenses]]</f>
        <v>562.58000000000004</v>
      </c>
      <c r="L122" s="30">
        <f>FARM_DATA[[#This Row],[Savings]]</f>
        <v>-180.44</v>
      </c>
      <c r="M122" s="5" t="str">
        <f>TEXT(CLEAN_TABLE[[#This Row],[Date]], "mmm")</f>
        <v>Jul</v>
      </c>
      <c r="N122" s="5">
        <f>YEAR(CLEAN_TABLE[[#This Row],[Date]])</f>
        <v>2024</v>
      </c>
      <c r="O122" s="5">
        <f>IF(CLEAN_TABLE[[#This Row],[Farmer_Type]]="Smart",0,1)</f>
        <v>1</v>
      </c>
      <c r="P122" s="7">
        <f>IFERROR(CLEAN_TABLE[[#This Row],[Savings]]/CLEAN_TABLE[[#This Row],[Income]],0)</f>
        <v>-0.47218296959229605</v>
      </c>
      <c r="Q122" s="7">
        <f>IF(CLEAN_TABLE[[#This Row],[Farmer_Type]]="Smart", 1 - (CLEAN_TABLE[[#This Row],[Irrigation]] / 70), 1 - (CLEAN_TABLE[[#This Row],[Irrigation]] / 150))</f>
        <v>0.44473333333333331</v>
      </c>
      <c r="R1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944.72</v>
      </c>
    </row>
    <row r="123" spans="1:19">
      <c r="A123" s="6">
        <f>FARM_DATA[[#This Row],[Date]]</f>
        <v>45504</v>
      </c>
      <c r="B123" s="5" t="str">
        <f>FARM_DATA[[#This Row],[Farmer_Type]]</f>
        <v>Smart</v>
      </c>
      <c r="C123" s="8">
        <f>FARM_DATA[[#This Row],[Income]]</f>
        <v>941.97</v>
      </c>
      <c r="D123" s="8">
        <f>FARM_DATA[[#This Row],[Irrigation]]</f>
        <v>7.85</v>
      </c>
      <c r="E123" s="8">
        <f>FARM_DATA[[#This Row],[Seeds]]</f>
        <v>62.56</v>
      </c>
      <c r="F123" s="8">
        <f>FARM_DATA[[#This Row],[Fertilizer]]</f>
        <v>59.57</v>
      </c>
      <c r="G123" s="8">
        <f>FARM_DATA[[#This Row],[Labor]]</f>
        <v>111.81</v>
      </c>
      <c r="H123" s="8">
        <f>FARM_DATA[[#This Row],[Household]]</f>
        <v>147.16</v>
      </c>
      <c r="I123" s="8">
        <f>FARM_DATA[[#This Row],[Medical]]</f>
        <v>17.98</v>
      </c>
      <c r="J123" s="8">
        <f>FARM_DATA[[#This Row],[Misc]]</f>
        <v>11.66</v>
      </c>
      <c r="K123" s="8">
        <f>FARM_DATA[[#This Row],[Total_Expenses]]</f>
        <v>418.59</v>
      </c>
      <c r="L123" s="30">
        <f>FARM_DATA[[#This Row],[Savings]]</f>
        <v>523.38</v>
      </c>
      <c r="M123" s="5" t="str">
        <f>TEXT(CLEAN_TABLE[[#This Row],[Date]], "mmm")</f>
        <v>Jul</v>
      </c>
      <c r="N123" s="5">
        <f>YEAR(CLEAN_TABLE[[#This Row],[Date]])</f>
        <v>2024</v>
      </c>
      <c r="O123" s="5">
        <f>IF(CLEAN_TABLE[[#This Row],[Farmer_Type]]="Smart",0,1)</f>
        <v>0</v>
      </c>
      <c r="P123" s="7">
        <f>IFERROR(CLEAN_TABLE[[#This Row],[Savings]]/CLEAN_TABLE[[#This Row],[Income]],0)</f>
        <v>0.5556227905347304</v>
      </c>
      <c r="Q123" s="7">
        <f>IF(CLEAN_TABLE[[#This Row],[Farmer_Type]]="Smart", 1 - (CLEAN_TABLE[[#This Row],[Irrigation]] / 70), 1 - (CLEAN_TABLE[[#This Row],[Irrigation]] / 150))</f>
        <v>0.8878571428571429</v>
      </c>
      <c r="R1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1360.5600000000002</v>
      </c>
    </row>
    <row r="124" spans="1:19">
      <c r="A124" s="6">
        <f>FARM_DATA[[#This Row],[Date]]</f>
        <v>45505</v>
      </c>
      <c r="B124" s="5" t="str">
        <f>FARM_DATA[[#This Row],[Farmer_Type]]</f>
        <v>Smart</v>
      </c>
      <c r="C124" s="8">
        <f>FARM_DATA[[#This Row],[Income]]</f>
        <v>859.54</v>
      </c>
      <c r="D124" s="8">
        <f>FARM_DATA[[#This Row],[Irrigation]]</f>
        <v>2.88</v>
      </c>
      <c r="E124" s="8">
        <f>FARM_DATA[[#This Row],[Seeds]]</f>
        <v>28.32</v>
      </c>
      <c r="F124" s="8">
        <f>FARM_DATA[[#This Row],[Fertilizer]]</f>
        <v>102.81</v>
      </c>
      <c r="G124" s="8">
        <f>FARM_DATA[[#This Row],[Labor]]</f>
        <v>110.72</v>
      </c>
      <c r="H124" s="8">
        <f>FARM_DATA[[#This Row],[Household]]</f>
        <v>184.89</v>
      </c>
      <c r="I124" s="8">
        <f>FARM_DATA[[#This Row],[Medical]]</f>
        <v>13.3</v>
      </c>
      <c r="J124" s="8">
        <f>FARM_DATA[[#This Row],[Misc]]</f>
        <v>39.28</v>
      </c>
      <c r="K124" s="8">
        <f>FARM_DATA[[#This Row],[Total_Expenses]]</f>
        <v>482.2</v>
      </c>
      <c r="L124" s="30">
        <f>FARM_DATA[[#This Row],[Savings]]</f>
        <v>377.34</v>
      </c>
      <c r="M124" s="5" t="str">
        <f>TEXT(CLEAN_TABLE[[#This Row],[Date]], "mmm")</f>
        <v>Aug</v>
      </c>
      <c r="N124" s="5">
        <f>YEAR(CLEAN_TABLE[[#This Row],[Date]])</f>
        <v>2024</v>
      </c>
      <c r="O124" s="5">
        <f>IF(CLEAN_TABLE[[#This Row],[Farmer_Type]]="Smart",0,1)</f>
        <v>0</v>
      </c>
      <c r="P124" s="7">
        <f>IFERROR(CLEAN_TABLE[[#This Row],[Savings]]/CLEAN_TABLE[[#This Row],[Income]],0)</f>
        <v>0.43900225702119738</v>
      </c>
      <c r="Q124" s="7">
        <f>IF(CLEAN_TABLE[[#This Row],[Farmer_Type]]="Smart", 1 - (CLEAN_TABLE[[#This Row],[Irrigation]] / 70), 1 - (CLEAN_TABLE[[#This Row],[Irrigation]] / 150))</f>
        <v>0.95885714285714285</v>
      </c>
      <c r="R1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1341.7399999999998</v>
      </c>
    </row>
    <row r="125" spans="1:19">
      <c r="A125" s="6">
        <f>FARM_DATA[[#This Row],[Date]]</f>
        <v>45506</v>
      </c>
      <c r="B125" s="5" t="str">
        <f>FARM_DATA[[#This Row],[Farmer_Type]]</f>
        <v>Smart</v>
      </c>
      <c r="C125" s="8">
        <f>FARM_DATA[[#This Row],[Income]]</f>
        <v>949.28</v>
      </c>
      <c r="D125" s="8">
        <f>FARM_DATA[[#This Row],[Irrigation]]</f>
        <v>9.2100000000000009</v>
      </c>
      <c r="E125" s="8">
        <f>FARM_DATA[[#This Row],[Seeds]]</f>
        <v>90.07</v>
      </c>
      <c r="F125" s="8">
        <f>FARM_DATA[[#This Row],[Fertilizer]]</f>
        <v>106.32</v>
      </c>
      <c r="G125" s="8">
        <f>FARM_DATA[[#This Row],[Labor]]</f>
        <v>90.58</v>
      </c>
      <c r="H125" s="8">
        <f>FARM_DATA[[#This Row],[Household]]</f>
        <v>170.94</v>
      </c>
      <c r="I125" s="8">
        <f>FARM_DATA[[#This Row],[Medical]]</f>
        <v>23.88</v>
      </c>
      <c r="J125" s="8">
        <f>FARM_DATA[[#This Row],[Misc]]</f>
        <v>9.3699999999999992</v>
      </c>
      <c r="K125" s="8">
        <f>FARM_DATA[[#This Row],[Total_Expenses]]</f>
        <v>500.37</v>
      </c>
      <c r="L125" s="30">
        <f>FARM_DATA[[#This Row],[Savings]]</f>
        <v>448.91</v>
      </c>
      <c r="M125" s="5" t="str">
        <f>TEXT(CLEAN_TABLE[[#This Row],[Date]], "mmm")</f>
        <v>Aug</v>
      </c>
      <c r="N125" s="5">
        <f>YEAR(CLEAN_TABLE[[#This Row],[Date]])</f>
        <v>2024</v>
      </c>
      <c r="O125" s="5">
        <f>IF(CLEAN_TABLE[[#This Row],[Farmer_Type]]="Smart",0,1)</f>
        <v>0</v>
      </c>
      <c r="P125" s="7">
        <f>IFERROR(CLEAN_TABLE[[#This Row],[Savings]]/CLEAN_TABLE[[#This Row],[Income]],0)</f>
        <v>0.47289524692398455</v>
      </c>
      <c r="Q125" s="7">
        <f>IF(CLEAN_TABLE[[#This Row],[Farmer_Type]]="Smart", 1 - (CLEAN_TABLE[[#This Row],[Irrigation]] / 70), 1 - (CLEAN_TABLE[[#This Row],[Irrigation]] / 150))</f>
        <v>0.86842857142857144</v>
      </c>
      <c r="R1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1449.6499999999999</v>
      </c>
    </row>
    <row r="126" spans="1:19">
      <c r="A126" s="6">
        <f>FARM_DATA[[#This Row],[Date]]</f>
        <v>45507</v>
      </c>
      <c r="B126" s="5" t="str">
        <f>FARM_DATA[[#This Row],[Farmer_Type]]</f>
        <v>Smart</v>
      </c>
      <c r="C126" s="8">
        <f>FARM_DATA[[#This Row],[Income]]</f>
        <v>900.56</v>
      </c>
      <c r="D126" s="8">
        <f>FARM_DATA[[#This Row],[Irrigation]]</f>
        <v>11.59</v>
      </c>
      <c r="E126" s="8">
        <f>FARM_DATA[[#This Row],[Seeds]]</f>
        <v>39.97</v>
      </c>
      <c r="F126" s="8">
        <f>FARM_DATA[[#This Row],[Fertilizer]]</f>
        <v>71.569999999999993</v>
      </c>
      <c r="G126" s="8">
        <f>FARM_DATA[[#This Row],[Labor]]</f>
        <v>130.94999999999999</v>
      </c>
      <c r="H126" s="8">
        <f>FARM_DATA[[#This Row],[Household]]</f>
        <v>192.43</v>
      </c>
      <c r="I126" s="8">
        <f>FARM_DATA[[#This Row],[Medical]]</f>
        <v>16.86</v>
      </c>
      <c r="J126" s="8">
        <f>FARM_DATA[[#This Row],[Misc]]</f>
        <v>48.59</v>
      </c>
      <c r="K126" s="8">
        <f>FARM_DATA[[#This Row],[Total_Expenses]]</f>
        <v>511.96</v>
      </c>
      <c r="L126" s="30">
        <f>FARM_DATA[[#This Row],[Savings]]</f>
        <v>388.61</v>
      </c>
      <c r="M126" s="5" t="str">
        <f>TEXT(CLEAN_TABLE[[#This Row],[Date]], "mmm")</f>
        <v>Aug</v>
      </c>
      <c r="N126" s="5">
        <f>YEAR(CLEAN_TABLE[[#This Row],[Date]])</f>
        <v>2024</v>
      </c>
      <c r="O126" s="5">
        <f>IF(CLEAN_TABLE[[#This Row],[Farmer_Type]]="Smart",0,1)</f>
        <v>0</v>
      </c>
      <c r="P126" s="7">
        <f>IFERROR(CLEAN_TABLE[[#This Row],[Savings]]/CLEAN_TABLE[[#This Row],[Income]],0)</f>
        <v>0.43152038731455988</v>
      </c>
      <c r="Q126" s="7">
        <f>IF(CLEAN_TABLE[[#This Row],[Farmer_Type]]="Smart", 1 - (CLEAN_TABLE[[#This Row],[Irrigation]] / 70), 1 - (CLEAN_TABLE[[#This Row],[Irrigation]] / 150))</f>
        <v>0.83442857142857141</v>
      </c>
      <c r="R1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1412.52</v>
      </c>
    </row>
    <row r="127" spans="1:19">
      <c r="A127" s="6">
        <f>FARM_DATA[[#This Row],[Date]]</f>
        <v>45508</v>
      </c>
      <c r="B127" s="5" t="str">
        <f>FARM_DATA[[#This Row],[Farmer_Type]]</f>
        <v>Traditional</v>
      </c>
      <c r="C127" s="8">
        <f>FARM_DATA[[#This Row],[Income]]</f>
        <v>419.97</v>
      </c>
      <c r="D127" s="8">
        <f>FARM_DATA[[#This Row],[Irrigation]]</f>
        <v>79.25</v>
      </c>
      <c r="E127" s="8">
        <f>FARM_DATA[[#This Row],[Seeds]]</f>
        <v>40.89</v>
      </c>
      <c r="F127" s="8">
        <f>FARM_DATA[[#This Row],[Fertilizer]]</f>
        <v>42.06</v>
      </c>
      <c r="G127" s="8">
        <f>FARM_DATA[[#This Row],[Labor]]</f>
        <v>127.46</v>
      </c>
      <c r="H127" s="8">
        <f>FARM_DATA[[#This Row],[Household]]</f>
        <v>161.80000000000001</v>
      </c>
      <c r="I127" s="8">
        <f>FARM_DATA[[#This Row],[Medical]]</f>
        <v>27.16</v>
      </c>
      <c r="J127" s="8">
        <f>FARM_DATA[[#This Row],[Misc]]</f>
        <v>37.619999999999997</v>
      </c>
      <c r="K127" s="8">
        <f>FARM_DATA[[#This Row],[Total_Expenses]]</f>
        <v>516.25</v>
      </c>
      <c r="L127" s="30">
        <f>FARM_DATA[[#This Row],[Savings]]</f>
        <v>-96.28</v>
      </c>
      <c r="M127" s="5" t="str">
        <f>TEXT(CLEAN_TABLE[[#This Row],[Date]], "mmm")</f>
        <v>Aug</v>
      </c>
      <c r="N127" s="5">
        <f>YEAR(CLEAN_TABLE[[#This Row],[Date]])</f>
        <v>2024</v>
      </c>
      <c r="O127" s="5">
        <f>IF(CLEAN_TABLE[[#This Row],[Farmer_Type]]="Smart",0,1)</f>
        <v>1</v>
      </c>
      <c r="P127" s="7">
        <f>IFERROR(CLEAN_TABLE[[#This Row],[Savings]]/CLEAN_TABLE[[#This Row],[Income]],0)</f>
        <v>-0.22925447055742076</v>
      </c>
      <c r="Q127" s="7">
        <f>IF(CLEAN_TABLE[[#This Row],[Farmer_Type]]="Smart", 1 - (CLEAN_TABLE[[#This Row],[Irrigation]] / 70), 1 - (CLEAN_TABLE[[#This Row],[Irrigation]] / 150))</f>
        <v>0.47166666666666668</v>
      </c>
      <c r="R1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936.21</v>
      </c>
    </row>
    <row r="128" spans="1:19">
      <c r="A128" s="6">
        <f>FARM_DATA[[#This Row],[Date]]</f>
        <v>45509</v>
      </c>
      <c r="B128" s="5" t="str">
        <f>FARM_DATA[[#This Row],[Farmer_Type]]</f>
        <v>Smart</v>
      </c>
      <c r="C128" s="8">
        <f>FARM_DATA[[#This Row],[Income]]</f>
        <v>1159.9100000000001</v>
      </c>
      <c r="D128" s="8">
        <f>FARM_DATA[[#This Row],[Irrigation]]</f>
        <v>12.32</v>
      </c>
      <c r="E128" s="8">
        <f>FARM_DATA[[#This Row],[Seeds]]</f>
        <v>86.35</v>
      </c>
      <c r="F128" s="8">
        <f>FARM_DATA[[#This Row],[Fertilizer]]</f>
        <v>85.93</v>
      </c>
      <c r="G128" s="8">
        <f>FARM_DATA[[#This Row],[Labor]]</f>
        <v>136.51</v>
      </c>
      <c r="H128" s="8">
        <f>FARM_DATA[[#This Row],[Household]]</f>
        <v>145.88</v>
      </c>
      <c r="I128" s="8">
        <f>FARM_DATA[[#This Row],[Medical]]</f>
        <v>37.619999999999997</v>
      </c>
      <c r="J128" s="8">
        <f>FARM_DATA[[#This Row],[Misc]]</f>
        <v>42.97</v>
      </c>
      <c r="K128" s="8">
        <f>FARM_DATA[[#This Row],[Total_Expenses]]</f>
        <v>547.58000000000004</v>
      </c>
      <c r="L128" s="30">
        <f>FARM_DATA[[#This Row],[Savings]]</f>
        <v>612.33000000000004</v>
      </c>
      <c r="M128" s="5" t="str">
        <f>TEXT(CLEAN_TABLE[[#This Row],[Date]], "mmm")</f>
        <v>Aug</v>
      </c>
      <c r="N128" s="5">
        <f>YEAR(CLEAN_TABLE[[#This Row],[Date]])</f>
        <v>2024</v>
      </c>
      <c r="O128" s="5">
        <f>IF(CLEAN_TABLE[[#This Row],[Farmer_Type]]="Smart",0,1)</f>
        <v>0</v>
      </c>
      <c r="P128" s="7">
        <f>IFERROR(CLEAN_TABLE[[#This Row],[Savings]]/CLEAN_TABLE[[#This Row],[Income]],0)</f>
        <v>0.52791164831754189</v>
      </c>
      <c r="Q128" s="7">
        <f>IF(CLEAN_TABLE[[#This Row],[Farmer_Type]]="Smart", 1 - (CLEAN_TABLE[[#This Row],[Irrigation]] / 70), 1 - (CLEAN_TABLE[[#This Row],[Irrigation]] / 150))</f>
        <v>0.82399999999999995</v>
      </c>
      <c r="R1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1707.49</v>
      </c>
    </row>
    <row r="129" spans="1:19">
      <c r="A129" s="6">
        <f>FARM_DATA[[#This Row],[Date]]</f>
        <v>45510</v>
      </c>
      <c r="B129" s="5" t="str">
        <f>FARM_DATA[[#This Row],[Farmer_Type]]</f>
        <v>Smart</v>
      </c>
      <c r="C129" s="8">
        <f>FARM_DATA[[#This Row],[Income]]</f>
        <v>819.72</v>
      </c>
      <c r="D129" s="8">
        <f>FARM_DATA[[#This Row],[Irrigation]]</f>
        <v>12.58</v>
      </c>
      <c r="E129" s="8">
        <f>FARM_DATA[[#This Row],[Seeds]]</f>
        <v>53.59</v>
      </c>
      <c r="F129" s="8">
        <f>FARM_DATA[[#This Row],[Fertilizer]]</f>
        <v>92.72</v>
      </c>
      <c r="G129" s="8">
        <f>FARM_DATA[[#This Row],[Labor]]</f>
        <v>105.46</v>
      </c>
      <c r="H129" s="8">
        <f>FARM_DATA[[#This Row],[Household]]</f>
        <v>149.91999999999999</v>
      </c>
      <c r="I129" s="8">
        <f>FARM_DATA[[#This Row],[Medical]]</f>
        <v>21.78</v>
      </c>
      <c r="J129" s="8">
        <f>FARM_DATA[[#This Row],[Misc]]</f>
        <v>72.13</v>
      </c>
      <c r="K129" s="8">
        <f>FARM_DATA[[#This Row],[Total_Expenses]]</f>
        <v>508.19</v>
      </c>
      <c r="L129" s="30">
        <f>FARM_DATA[[#This Row],[Savings]]</f>
        <v>311.52999999999997</v>
      </c>
      <c r="M129" s="5" t="str">
        <f>TEXT(CLEAN_TABLE[[#This Row],[Date]], "mmm")</f>
        <v>Aug</v>
      </c>
      <c r="N129" s="5">
        <f>YEAR(CLEAN_TABLE[[#This Row],[Date]])</f>
        <v>2024</v>
      </c>
      <c r="O129" s="5">
        <f>IF(CLEAN_TABLE[[#This Row],[Farmer_Type]]="Smart",0,1)</f>
        <v>0</v>
      </c>
      <c r="P129" s="7">
        <f>IFERROR(CLEAN_TABLE[[#This Row],[Savings]]/CLEAN_TABLE[[#This Row],[Income]],0)</f>
        <v>0.38004440540672418</v>
      </c>
      <c r="Q129" s="7">
        <f>IF(CLEAN_TABLE[[#This Row],[Farmer_Type]]="Smart", 1 - (CLEAN_TABLE[[#This Row],[Irrigation]] / 70), 1 - (CLEAN_TABLE[[#This Row],[Irrigation]] / 150))</f>
        <v>0.82028571428571428</v>
      </c>
      <c r="R1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1327.9</v>
      </c>
    </row>
    <row r="130" spans="1:19">
      <c r="A130" s="6">
        <f>FARM_DATA[[#This Row],[Date]]</f>
        <v>45511</v>
      </c>
      <c r="B130" s="5" t="str">
        <f>FARM_DATA[[#This Row],[Farmer_Type]]</f>
        <v>Traditional</v>
      </c>
      <c r="C130" s="8">
        <f>FARM_DATA[[#This Row],[Income]]</f>
        <v>436.38</v>
      </c>
      <c r="D130" s="8">
        <f>FARM_DATA[[#This Row],[Irrigation]]</f>
        <v>74.36</v>
      </c>
      <c r="E130" s="8">
        <f>FARM_DATA[[#This Row],[Seeds]]</f>
        <v>40.57</v>
      </c>
      <c r="F130" s="8">
        <f>FARM_DATA[[#This Row],[Fertilizer]]</f>
        <v>57.4</v>
      </c>
      <c r="G130" s="8">
        <f>FARM_DATA[[#This Row],[Labor]]</f>
        <v>125.34</v>
      </c>
      <c r="H130" s="8">
        <f>FARM_DATA[[#This Row],[Household]]</f>
        <v>119.32</v>
      </c>
      <c r="I130" s="8">
        <f>FARM_DATA[[#This Row],[Medical]]</f>
        <v>17.940000000000001</v>
      </c>
      <c r="J130" s="8">
        <f>FARM_DATA[[#This Row],[Misc]]</f>
        <v>9.98</v>
      </c>
      <c r="K130" s="8">
        <f>FARM_DATA[[#This Row],[Total_Expenses]]</f>
        <v>444.91</v>
      </c>
      <c r="L130" s="30">
        <f>FARM_DATA[[#This Row],[Savings]]</f>
        <v>-8.5299999999999994</v>
      </c>
      <c r="M130" s="5" t="str">
        <f>TEXT(CLEAN_TABLE[[#This Row],[Date]], "mmm")</f>
        <v>Aug</v>
      </c>
      <c r="N130" s="5">
        <f>YEAR(CLEAN_TABLE[[#This Row],[Date]])</f>
        <v>2024</v>
      </c>
      <c r="O130" s="5">
        <f>IF(CLEAN_TABLE[[#This Row],[Farmer_Type]]="Smart",0,1)</f>
        <v>1</v>
      </c>
      <c r="P130" s="7">
        <f>IFERROR(CLEAN_TABLE[[#This Row],[Savings]]/CLEAN_TABLE[[#This Row],[Income]],0)</f>
        <v>-1.9547183647279892E-2</v>
      </c>
      <c r="Q130" s="7">
        <f>IF(CLEAN_TABLE[[#This Row],[Farmer_Type]]="Smart", 1 - (CLEAN_TABLE[[#This Row],[Irrigation]] / 70), 1 - (CLEAN_TABLE[[#This Row],[Irrigation]] / 150))</f>
        <v>0.50426666666666664</v>
      </c>
      <c r="R1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881.29000000000019</v>
      </c>
    </row>
    <row r="131" spans="1:19">
      <c r="A131" s="6">
        <f>FARM_DATA[[#This Row],[Date]]</f>
        <v>45512</v>
      </c>
      <c r="B131" s="5" t="str">
        <f>FARM_DATA[[#This Row],[Farmer_Type]]</f>
        <v>Smart</v>
      </c>
      <c r="C131" s="8">
        <f>FARM_DATA[[#This Row],[Income]]</f>
        <v>1029.8399999999999</v>
      </c>
      <c r="D131" s="8">
        <f>FARM_DATA[[#This Row],[Irrigation]]</f>
        <v>18.239999999999998</v>
      </c>
      <c r="E131" s="8">
        <f>FARM_DATA[[#This Row],[Seeds]]</f>
        <v>50.34</v>
      </c>
      <c r="F131" s="8">
        <f>FARM_DATA[[#This Row],[Fertilizer]]</f>
        <v>127.22</v>
      </c>
      <c r="G131" s="8">
        <f>FARM_DATA[[#This Row],[Labor]]</f>
        <v>70.48</v>
      </c>
      <c r="H131" s="8">
        <f>FARM_DATA[[#This Row],[Household]]</f>
        <v>118.75</v>
      </c>
      <c r="I131" s="8">
        <f>FARM_DATA[[#This Row],[Medical]]</f>
        <v>24.02</v>
      </c>
      <c r="J131" s="8">
        <f>FARM_DATA[[#This Row],[Misc]]</f>
        <v>55.71</v>
      </c>
      <c r="K131" s="8">
        <f>FARM_DATA[[#This Row],[Total_Expenses]]</f>
        <v>464.75</v>
      </c>
      <c r="L131" s="30">
        <f>FARM_DATA[[#This Row],[Savings]]</f>
        <v>565.09</v>
      </c>
      <c r="M131" s="5" t="str">
        <f>TEXT(CLEAN_TABLE[[#This Row],[Date]], "mmm")</f>
        <v>Aug</v>
      </c>
      <c r="N131" s="5">
        <f>YEAR(CLEAN_TABLE[[#This Row],[Date]])</f>
        <v>2024</v>
      </c>
      <c r="O131" s="5">
        <f>IF(CLEAN_TABLE[[#This Row],[Farmer_Type]]="Smart",0,1)</f>
        <v>0</v>
      </c>
      <c r="P131" s="7">
        <f>IFERROR(CLEAN_TABLE[[#This Row],[Savings]]/CLEAN_TABLE[[#This Row],[Income]],0)</f>
        <v>0.5487163054455062</v>
      </c>
      <c r="Q131" s="7">
        <f>IF(CLEAN_TABLE[[#This Row],[Farmer_Type]]="Smart", 1 - (CLEAN_TABLE[[#This Row],[Irrigation]] / 70), 1 - (CLEAN_TABLE[[#This Row],[Irrigation]] / 150))</f>
        <v>0.73942857142857144</v>
      </c>
      <c r="R1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1494.6</v>
      </c>
    </row>
    <row r="132" spans="1:19">
      <c r="A132" s="6">
        <f>FARM_DATA[[#This Row],[Date]]</f>
        <v>45513</v>
      </c>
      <c r="B132" s="5" t="str">
        <f>FARM_DATA[[#This Row],[Farmer_Type]]</f>
        <v>Smart</v>
      </c>
      <c r="C132" s="8">
        <f>FARM_DATA[[#This Row],[Income]]</f>
        <v>1286.79</v>
      </c>
      <c r="D132" s="8">
        <f>FARM_DATA[[#This Row],[Irrigation]]</f>
        <v>12.71</v>
      </c>
      <c r="E132" s="8">
        <f>FARM_DATA[[#This Row],[Seeds]]</f>
        <v>81.569999999999993</v>
      </c>
      <c r="F132" s="8">
        <f>FARM_DATA[[#This Row],[Fertilizer]]</f>
        <v>78.84</v>
      </c>
      <c r="G132" s="8">
        <f>FARM_DATA[[#This Row],[Labor]]</f>
        <v>91.55</v>
      </c>
      <c r="H132" s="8">
        <f>FARM_DATA[[#This Row],[Household]]</f>
        <v>200.93</v>
      </c>
      <c r="I132" s="8">
        <f>FARM_DATA[[#This Row],[Medical]]</f>
        <v>27.87</v>
      </c>
      <c r="J132" s="8">
        <f>FARM_DATA[[#This Row],[Misc]]</f>
        <v>16.350000000000001</v>
      </c>
      <c r="K132" s="8">
        <f>FARM_DATA[[#This Row],[Total_Expenses]]</f>
        <v>509.82</v>
      </c>
      <c r="L132" s="30">
        <f>FARM_DATA[[#This Row],[Savings]]</f>
        <v>776.96</v>
      </c>
      <c r="M132" s="5" t="str">
        <f>TEXT(CLEAN_TABLE[[#This Row],[Date]], "mmm")</f>
        <v>Aug</v>
      </c>
      <c r="N132" s="5">
        <f>YEAR(CLEAN_TABLE[[#This Row],[Date]])</f>
        <v>2024</v>
      </c>
      <c r="O132" s="5">
        <f>IF(CLEAN_TABLE[[#This Row],[Farmer_Type]]="Smart",0,1)</f>
        <v>0</v>
      </c>
      <c r="P132" s="7">
        <f>IFERROR(CLEAN_TABLE[[#This Row],[Savings]]/CLEAN_TABLE[[#This Row],[Income]],0)</f>
        <v>0.60379704536093692</v>
      </c>
      <c r="Q132" s="7">
        <f>IF(CLEAN_TABLE[[#This Row],[Farmer_Type]]="Smart", 1 - (CLEAN_TABLE[[#This Row],[Irrigation]] / 70), 1 - (CLEAN_TABLE[[#This Row],[Irrigation]] / 150))</f>
        <v>0.81842857142857139</v>
      </c>
      <c r="R1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1796.6099999999997</v>
      </c>
    </row>
    <row r="133" spans="1:19">
      <c r="A133" s="6">
        <f>FARM_DATA[[#This Row],[Date]]</f>
        <v>45514</v>
      </c>
      <c r="B133" s="5" t="str">
        <f>FARM_DATA[[#This Row],[Farmer_Type]]</f>
        <v>Traditional</v>
      </c>
      <c r="C133" s="8">
        <f>FARM_DATA[[#This Row],[Income]]</f>
        <v>423.83</v>
      </c>
      <c r="D133" s="8">
        <f>FARM_DATA[[#This Row],[Irrigation]]</f>
        <v>83.8</v>
      </c>
      <c r="E133" s="8">
        <f>FARM_DATA[[#This Row],[Seeds]]</f>
        <v>30.62</v>
      </c>
      <c r="F133" s="8">
        <f>FARM_DATA[[#This Row],[Fertilizer]]</f>
        <v>62.92</v>
      </c>
      <c r="G133" s="8">
        <f>FARM_DATA[[#This Row],[Labor]]</f>
        <v>122.35</v>
      </c>
      <c r="H133" s="8">
        <f>FARM_DATA[[#This Row],[Household]]</f>
        <v>157.82</v>
      </c>
      <c r="I133" s="8">
        <f>FARM_DATA[[#This Row],[Medical]]</f>
        <v>15.6</v>
      </c>
      <c r="J133" s="8">
        <f>FARM_DATA[[#This Row],[Misc]]</f>
        <v>21.94</v>
      </c>
      <c r="K133" s="8">
        <f>FARM_DATA[[#This Row],[Total_Expenses]]</f>
        <v>495.04</v>
      </c>
      <c r="L133" s="30">
        <f>FARM_DATA[[#This Row],[Savings]]</f>
        <v>-71.22</v>
      </c>
      <c r="M133" s="5" t="str">
        <f>TEXT(CLEAN_TABLE[[#This Row],[Date]], "mmm")</f>
        <v>Aug</v>
      </c>
      <c r="N133" s="5">
        <f>YEAR(CLEAN_TABLE[[#This Row],[Date]])</f>
        <v>2024</v>
      </c>
      <c r="O133" s="5">
        <f>IF(CLEAN_TABLE[[#This Row],[Farmer_Type]]="Smart",0,1)</f>
        <v>1</v>
      </c>
      <c r="P133" s="7">
        <f>IFERROR(CLEAN_TABLE[[#This Row],[Savings]]/CLEAN_TABLE[[#This Row],[Income]],0)</f>
        <v>-0.16803907226954204</v>
      </c>
      <c r="Q133" s="7">
        <f>IF(CLEAN_TABLE[[#This Row],[Farmer_Type]]="Smart", 1 - (CLEAN_TABLE[[#This Row],[Irrigation]] / 70), 1 - (CLEAN_TABLE[[#This Row],[Irrigation]] / 150))</f>
        <v>0.44133333333333336</v>
      </c>
      <c r="R1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918.88</v>
      </c>
    </row>
    <row r="134" spans="1:19">
      <c r="A134" s="6">
        <f>FARM_DATA[[#This Row],[Date]]</f>
        <v>45515</v>
      </c>
      <c r="B134" s="5" t="str">
        <f>FARM_DATA[[#This Row],[Farmer_Type]]</f>
        <v>Smart</v>
      </c>
      <c r="C134" s="8">
        <f>FARM_DATA[[#This Row],[Income]]</f>
        <v>944.89</v>
      </c>
      <c r="D134" s="8">
        <f>FARM_DATA[[#This Row],[Irrigation]]</f>
        <v>20.86</v>
      </c>
      <c r="E134" s="8">
        <f>FARM_DATA[[#This Row],[Seeds]]</f>
        <v>70.87</v>
      </c>
      <c r="F134" s="8">
        <f>FARM_DATA[[#This Row],[Fertilizer]]</f>
        <v>68.88</v>
      </c>
      <c r="G134" s="8">
        <f>FARM_DATA[[#This Row],[Labor]]</f>
        <v>110.43</v>
      </c>
      <c r="H134" s="8">
        <f>FARM_DATA[[#This Row],[Household]]</f>
        <v>70.3</v>
      </c>
      <c r="I134" s="8">
        <f>FARM_DATA[[#This Row],[Medical]]</f>
        <v>32.340000000000003</v>
      </c>
      <c r="J134" s="8">
        <f>FARM_DATA[[#This Row],[Misc]]</f>
        <v>13.9</v>
      </c>
      <c r="K134" s="8">
        <f>FARM_DATA[[#This Row],[Total_Expenses]]</f>
        <v>387.6</v>
      </c>
      <c r="L134" s="30">
        <f>FARM_DATA[[#This Row],[Savings]]</f>
        <v>557.29</v>
      </c>
      <c r="M134" s="5" t="str">
        <f>TEXT(CLEAN_TABLE[[#This Row],[Date]], "mmm")</f>
        <v>Aug</v>
      </c>
      <c r="N134" s="5">
        <f>YEAR(CLEAN_TABLE[[#This Row],[Date]])</f>
        <v>2024</v>
      </c>
      <c r="O134" s="5">
        <f>IF(CLEAN_TABLE[[#This Row],[Farmer_Type]]="Smart",0,1)</f>
        <v>0</v>
      </c>
      <c r="P134" s="7">
        <f>IFERROR(CLEAN_TABLE[[#This Row],[Savings]]/CLEAN_TABLE[[#This Row],[Income]],0)</f>
        <v>0.58979352093894521</v>
      </c>
      <c r="Q134" s="7">
        <f>IF(CLEAN_TABLE[[#This Row],[Farmer_Type]]="Smart", 1 - (CLEAN_TABLE[[#This Row],[Irrigation]] / 70), 1 - (CLEAN_TABLE[[#This Row],[Irrigation]] / 150))</f>
        <v>0.70199999999999996</v>
      </c>
      <c r="R1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1332.47</v>
      </c>
    </row>
    <row r="135" spans="1:19">
      <c r="A135" s="6">
        <f>FARM_DATA[[#This Row],[Date]]</f>
        <v>45516</v>
      </c>
      <c r="B135" s="5" t="str">
        <f>FARM_DATA[[#This Row],[Farmer_Type]]</f>
        <v>Traditional</v>
      </c>
      <c r="C135" s="8">
        <f>FARM_DATA[[#This Row],[Income]]</f>
        <v>331.88</v>
      </c>
      <c r="D135" s="8">
        <f>FARM_DATA[[#This Row],[Irrigation]]</f>
        <v>58.8</v>
      </c>
      <c r="E135" s="8">
        <f>FARM_DATA[[#This Row],[Seeds]]</f>
        <v>20.58</v>
      </c>
      <c r="F135" s="8">
        <f>FARM_DATA[[#This Row],[Fertilizer]]</f>
        <v>78.22</v>
      </c>
      <c r="G135" s="8">
        <f>FARM_DATA[[#This Row],[Labor]]</f>
        <v>98.31</v>
      </c>
      <c r="H135" s="8">
        <f>FARM_DATA[[#This Row],[Household]]</f>
        <v>160.4</v>
      </c>
      <c r="I135" s="8">
        <f>FARM_DATA[[#This Row],[Medical]]</f>
        <v>19.62</v>
      </c>
      <c r="J135" s="8">
        <f>FARM_DATA[[#This Row],[Misc]]</f>
        <v>35.72</v>
      </c>
      <c r="K135" s="8">
        <f>FARM_DATA[[#This Row],[Total_Expenses]]</f>
        <v>471.65</v>
      </c>
      <c r="L135" s="30">
        <f>FARM_DATA[[#This Row],[Savings]]</f>
        <v>-139.77000000000001</v>
      </c>
      <c r="M135" s="5" t="str">
        <f>TEXT(CLEAN_TABLE[[#This Row],[Date]], "mmm")</f>
        <v>Aug</v>
      </c>
      <c r="N135" s="5">
        <f>YEAR(CLEAN_TABLE[[#This Row],[Date]])</f>
        <v>2024</v>
      </c>
      <c r="O135" s="5">
        <f>IF(CLEAN_TABLE[[#This Row],[Farmer_Type]]="Smart",0,1)</f>
        <v>1</v>
      </c>
      <c r="P135" s="7">
        <f>IFERROR(CLEAN_TABLE[[#This Row],[Savings]]/CLEAN_TABLE[[#This Row],[Income]],0)</f>
        <v>-0.42114619742075454</v>
      </c>
      <c r="Q135" s="7">
        <f>IF(CLEAN_TABLE[[#This Row],[Farmer_Type]]="Smart", 1 - (CLEAN_TABLE[[#This Row],[Irrigation]] / 70), 1 - (CLEAN_TABLE[[#This Row],[Irrigation]] / 150))</f>
        <v>0.6080000000000001</v>
      </c>
      <c r="R1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803.53</v>
      </c>
    </row>
    <row r="136" spans="1:19">
      <c r="A136" s="6">
        <f>FARM_DATA[[#This Row],[Date]]</f>
        <v>45517</v>
      </c>
      <c r="B136" s="5" t="str">
        <f>FARM_DATA[[#This Row],[Farmer_Type]]</f>
        <v>Smart</v>
      </c>
      <c r="C136" s="8">
        <f>FARM_DATA[[#This Row],[Income]]</f>
        <v>965.36</v>
      </c>
      <c r="D136" s="8">
        <f>FARM_DATA[[#This Row],[Irrigation]]</f>
        <v>8.59</v>
      </c>
      <c r="E136" s="8">
        <f>FARM_DATA[[#This Row],[Seeds]]</f>
        <v>79.930000000000007</v>
      </c>
      <c r="F136" s="8">
        <f>FARM_DATA[[#This Row],[Fertilizer]]</f>
        <v>65.19</v>
      </c>
      <c r="G136" s="8">
        <f>FARM_DATA[[#This Row],[Labor]]</f>
        <v>63.87</v>
      </c>
      <c r="H136" s="8">
        <f>FARM_DATA[[#This Row],[Household]]</f>
        <v>155.02000000000001</v>
      </c>
      <c r="I136" s="8">
        <f>FARM_DATA[[#This Row],[Medical]]</f>
        <v>35.51</v>
      </c>
      <c r="J136" s="8">
        <f>FARM_DATA[[#This Row],[Misc]]</f>
        <v>52.75</v>
      </c>
      <c r="K136" s="8">
        <f>FARM_DATA[[#This Row],[Total_Expenses]]</f>
        <v>460.84</v>
      </c>
      <c r="L136" s="30">
        <f>FARM_DATA[[#This Row],[Savings]]</f>
        <v>504.52</v>
      </c>
      <c r="M136" s="5" t="str">
        <f>TEXT(CLEAN_TABLE[[#This Row],[Date]], "mmm")</f>
        <v>Aug</v>
      </c>
      <c r="N136" s="5">
        <f>YEAR(CLEAN_TABLE[[#This Row],[Date]])</f>
        <v>2024</v>
      </c>
      <c r="O136" s="5">
        <f>IF(CLEAN_TABLE[[#This Row],[Farmer_Type]]="Smart",0,1)</f>
        <v>0</v>
      </c>
      <c r="P136" s="7">
        <f>IFERROR(CLEAN_TABLE[[#This Row],[Savings]]/CLEAN_TABLE[[#This Row],[Income]],0)</f>
        <v>0.52262368442860696</v>
      </c>
      <c r="Q136" s="7">
        <f>IF(CLEAN_TABLE[[#This Row],[Farmer_Type]]="Smart", 1 - (CLEAN_TABLE[[#This Row],[Irrigation]] / 70), 1 - (CLEAN_TABLE[[#This Row],[Irrigation]] / 150))</f>
        <v>0.87728571428571434</v>
      </c>
      <c r="R1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1426.22</v>
      </c>
    </row>
    <row r="137" spans="1:19">
      <c r="A137" s="6">
        <f>FARM_DATA[[#This Row],[Date]]</f>
        <v>45518</v>
      </c>
      <c r="B137" s="5" t="str">
        <f>FARM_DATA[[#This Row],[Farmer_Type]]</f>
        <v>Traditional</v>
      </c>
      <c r="C137" s="8">
        <f>FARM_DATA[[#This Row],[Income]]</f>
        <v>332.57</v>
      </c>
      <c r="D137" s="8">
        <f>FARM_DATA[[#This Row],[Irrigation]]</f>
        <v>66.510000000000005</v>
      </c>
      <c r="E137" s="8">
        <f>FARM_DATA[[#This Row],[Seeds]]</f>
        <v>35.18</v>
      </c>
      <c r="F137" s="8">
        <f>FARM_DATA[[#This Row],[Fertilizer]]</f>
        <v>96.53</v>
      </c>
      <c r="G137" s="8">
        <f>FARM_DATA[[#This Row],[Labor]]</f>
        <v>119.55</v>
      </c>
      <c r="H137" s="8">
        <f>FARM_DATA[[#This Row],[Household]]</f>
        <v>162.9</v>
      </c>
      <c r="I137" s="8">
        <f>FARM_DATA[[#This Row],[Medical]]</f>
        <v>28.24</v>
      </c>
      <c r="J137" s="8">
        <f>FARM_DATA[[#This Row],[Misc]]</f>
        <v>32.869999999999997</v>
      </c>
      <c r="K137" s="8">
        <f>FARM_DATA[[#This Row],[Total_Expenses]]</f>
        <v>541.78</v>
      </c>
      <c r="L137" s="30">
        <f>FARM_DATA[[#This Row],[Savings]]</f>
        <v>-209.21</v>
      </c>
      <c r="M137" s="5" t="str">
        <f>TEXT(CLEAN_TABLE[[#This Row],[Date]], "mmm")</f>
        <v>Aug</v>
      </c>
      <c r="N137" s="5">
        <f>YEAR(CLEAN_TABLE[[#This Row],[Date]])</f>
        <v>2024</v>
      </c>
      <c r="O137" s="5">
        <f>IF(CLEAN_TABLE[[#This Row],[Farmer_Type]]="Smart",0,1)</f>
        <v>1</v>
      </c>
      <c r="P137" s="7">
        <f>IFERROR(CLEAN_TABLE[[#This Row],[Savings]]/CLEAN_TABLE[[#This Row],[Income]],0)</f>
        <v>-0.62907057160898461</v>
      </c>
      <c r="Q137" s="7">
        <f>IF(CLEAN_TABLE[[#This Row],[Farmer_Type]]="Smart", 1 - (CLEAN_TABLE[[#This Row],[Irrigation]] / 70), 1 - (CLEAN_TABLE[[#This Row],[Irrigation]] / 150))</f>
        <v>0.55659999999999998</v>
      </c>
      <c r="R1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874.34999999999991</v>
      </c>
    </row>
    <row r="138" spans="1:19">
      <c r="A138" s="6">
        <f>FARM_DATA[[#This Row],[Date]]</f>
        <v>45519</v>
      </c>
      <c r="B138" s="5" t="str">
        <f>FARM_DATA[[#This Row],[Farmer_Type]]</f>
        <v>Traditional</v>
      </c>
      <c r="C138" s="8">
        <f>FARM_DATA[[#This Row],[Income]]</f>
        <v>337.05</v>
      </c>
      <c r="D138" s="8">
        <f>FARM_DATA[[#This Row],[Irrigation]]</f>
        <v>68.040000000000006</v>
      </c>
      <c r="E138" s="8">
        <f>FARM_DATA[[#This Row],[Seeds]]</f>
        <v>38.93</v>
      </c>
      <c r="F138" s="8">
        <f>FARM_DATA[[#This Row],[Fertilizer]]</f>
        <v>54.26</v>
      </c>
      <c r="G138" s="8">
        <f>FARM_DATA[[#This Row],[Labor]]</f>
        <v>128.19</v>
      </c>
      <c r="H138" s="8">
        <f>FARM_DATA[[#This Row],[Household]]</f>
        <v>151.56</v>
      </c>
      <c r="I138" s="8">
        <f>FARM_DATA[[#This Row],[Medical]]</f>
        <v>25.86</v>
      </c>
      <c r="J138" s="8">
        <f>FARM_DATA[[#This Row],[Misc]]</f>
        <v>29.03</v>
      </c>
      <c r="K138" s="8">
        <f>FARM_DATA[[#This Row],[Total_Expenses]]</f>
        <v>495.86</v>
      </c>
      <c r="L138" s="30">
        <f>FARM_DATA[[#This Row],[Savings]]</f>
        <v>-158.81</v>
      </c>
      <c r="M138" s="5" t="str">
        <f>TEXT(CLEAN_TABLE[[#This Row],[Date]], "mmm")</f>
        <v>Aug</v>
      </c>
      <c r="N138" s="5">
        <f>YEAR(CLEAN_TABLE[[#This Row],[Date]])</f>
        <v>2024</v>
      </c>
      <c r="O138" s="5">
        <f>IF(CLEAN_TABLE[[#This Row],[Farmer_Type]]="Smart",0,1)</f>
        <v>1</v>
      </c>
      <c r="P138" s="7">
        <f>IFERROR(CLEAN_TABLE[[#This Row],[Savings]]/CLEAN_TABLE[[#This Row],[Income]],0)</f>
        <v>-0.47117638332591605</v>
      </c>
      <c r="Q138" s="7">
        <f>IF(CLEAN_TABLE[[#This Row],[Farmer_Type]]="Smart", 1 - (CLEAN_TABLE[[#This Row],[Irrigation]] / 70), 1 - (CLEAN_TABLE[[#This Row],[Irrigation]] / 150))</f>
        <v>0.5464</v>
      </c>
      <c r="R1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832.92</v>
      </c>
    </row>
    <row r="139" spans="1:19">
      <c r="A139" s="6">
        <f>FARM_DATA[[#This Row],[Date]]</f>
        <v>45520</v>
      </c>
      <c r="B139" s="5" t="str">
        <f>FARM_DATA[[#This Row],[Farmer_Type]]</f>
        <v>Traditional</v>
      </c>
      <c r="C139" s="8">
        <f>FARM_DATA[[#This Row],[Income]]</f>
        <v>353.93</v>
      </c>
      <c r="D139" s="8">
        <f>FARM_DATA[[#This Row],[Irrigation]]</f>
        <v>50.02</v>
      </c>
      <c r="E139" s="8">
        <f>FARM_DATA[[#This Row],[Seeds]]</f>
        <v>53.74</v>
      </c>
      <c r="F139" s="8">
        <f>FARM_DATA[[#This Row],[Fertilizer]]</f>
        <v>61.93</v>
      </c>
      <c r="G139" s="8">
        <f>FARM_DATA[[#This Row],[Labor]]</f>
        <v>134.94999999999999</v>
      </c>
      <c r="H139" s="8">
        <f>FARM_DATA[[#This Row],[Household]]</f>
        <v>63.11</v>
      </c>
      <c r="I139" s="8">
        <f>FARM_DATA[[#This Row],[Medical]]</f>
        <v>36.71</v>
      </c>
      <c r="J139" s="8">
        <f>FARM_DATA[[#This Row],[Misc]]</f>
        <v>28.32</v>
      </c>
      <c r="K139" s="8">
        <f>FARM_DATA[[#This Row],[Total_Expenses]]</f>
        <v>428.79</v>
      </c>
      <c r="L139" s="30">
        <f>FARM_DATA[[#This Row],[Savings]]</f>
        <v>-74.86</v>
      </c>
      <c r="M139" s="5" t="str">
        <f>TEXT(CLEAN_TABLE[[#This Row],[Date]], "mmm")</f>
        <v>Aug</v>
      </c>
      <c r="N139" s="5">
        <f>YEAR(CLEAN_TABLE[[#This Row],[Date]])</f>
        <v>2024</v>
      </c>
      <c r="O139" s="5">
        <f>IF(CLEAN_TABLE[[#This Row],[Farmer_Type]]="Smart",0,1)</f>
        <v>1</v>
      </c>
      <c r="P139" s="7">
        <f>IFERROR(CLEAN_TABLE[[#This Row],[Savings]]/CLEAN_TABLE[[#This Row],[Income]],0)</f>
        <v>-0.21151075071341791</v>
      </c>
      <c r="Q139" s="7">
        <f>IF(CLEAN_TABLE[[#This Row],[Farmer_Type]]="Smart", 1 - (CLEAN_TABLE[[#This Row],[Irrigation]] / 70), 1 - (CLEAN_TABLE[[#This Row],[Irrigation]] / 150))</f>
        <v>0.66653333333333331</v>
      </c>
      <c r="R1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782.71</v>
      </c>
    </row>
    <row r="140" spans="1:19">
      <c r="A140" s="6">
        <f>FARM_DATA[[#This Row],[Date]]</f>
        <v>45521</v>
      </c>
      <c r="B140" s="5" t="str">
        <f>FARM_DATA[[#This Row],[Farmer_Type]]</f>
        <v>Smart</v>
      </c>
      <c r="C140" s="8">
        <f>FARM_DATA[[#This Row],[Income]]</f>
        <v>1171.6400000000001</v>
      </c>
      <c r="D140" s="8">
        <f>FARM_DATA[[#This Row],[Irrigation]]</f>
        <v>9.8000000000000007</v>
      </c>
      <c r="E140" s="8">
        <f>FARM_DATA[[#This Row],[Seeds]]</f>
        <v>72.260000000000005</v>
      </c>
      <c r="F140" s="8">
        <f>FARM_DATA[[#This Row],[Fertilizer]]</f>
        <v>48.4</v>
      </c>
      <c r="G140" s="8">
        <f>FARM_DATA[[#This Row],[Labor]]</f>
        <v>82.52</v>
      </c>
      <c r="H140" s="8">
        <f>FARM_DATA[[#This Row],[Household]]</f>
        <v>236.99</v>
      </c>
      <c r="I140" s="8">
        <f>FARM_DATA[[#This Row],[Medical]]</f>
        <v>20.28</v>
      </c>
      <c r="J140" s="8">
        <f>FARM_DATA[[#This Row],[Misc]]</f>
        <v>43.26</v>
      </c>
      <c r="K140" s="8">
        <f>FARM_DATA[[#This Row],[Total_Expenses]]</f>
        <v>513.51</v>
      </c>
      <c r="L140" s="30">
        <f>FARM_DATA[[#This Row],[Savings]]</f>
        <v>658.12</v>
      </c>
      <c r="M140" s="5" t="str">
        <f>TEXT(CLEAN_TABLE[[#This Row],[Date]], "mmm")</f>
        <v>Aug</v>
      </c>
      <c r="N140" s="5">
        <f>YEAR(CLEAN_TABLE[[#This Row],[Date]])</f>
        <v>2024</v>
      </c>
      <c r="O140" s="5">
        <f>IF(CLEAN_TABLE[[#This Row],[Farmer_Type]]="Smart",0,1)</f>
        <v>0</v>
      </c>
      <c r="P140" s="7">
        <f>IFERROR(CLEAN_TABLE[[#This Row],[Savings]]/CLEAN_TABLE[[#This Row],[Income]],0)</f>
        <v>0.56170837458605027</v>
      </c>
      <c r="Q140" s="7">
        <f>IF(CLEAN_TABLE[[#This Row],[Farmer_Type]]="Smart", 1 - (CLEAN_TABLE[[#This Row],[Irrigation]] / 70), 1 - (CLEAN_TABLE[[#This Row],[Irrigation]] / 150))</f>
        <v>0.86</v>
      </c>
      <c r="R1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1685.15</v>
      </c>
    </row>
    <row r="141" spans="1:19">
      <c r="A141" s="6">
        <f>FARM_DATA[[#This Row],[Date]]</f>
        <v>45522</v>
      </c>
      <c r="B141" s="5" t="str">
        <f>FARM_DATA[[#This Row],[Farmer_Type]]</f>
        <v>Traditional</v>
      </c>
      <c r="C141" s="8">
        <f>FARM_DATA[[#This Row],[Income]]</f>
        <v>393.5</v>
      </c>
      <c r="D141" s="8">
        <f>FARM_DATA[[#This Row],[Irrigation]]</f>
        <v>74.959999999999994</v>
      </c>
      <c r="E141" s="8">
        <f>FARM_DATA[[#This Row],[Seeds]]</f>
        <v>42.26</v>
      </c>
      <c r="F141" s="8">
        <f>FARM_DATA[[#This Row],[Fertilizer]]</f>
        <v>62.3</v>
      </c>
      <c r="G141" s="8">
        <f>FARM_DATA[[#This Row],[Labor]]</f>
        <v>170.09</v>
      </c>
      <c r="H141" s="8">
        <f>FARM_DATA[[#This Row],[Household]]</f>
        <v>148.27000000000001</v>
      </c>
      <c r="I141" s="8">
        <f>FARM_DATA[[#This Row],[Medical]]</f>
        <v>21.61</v>
      </c>
      <c r="J141" s="8">
        <f>FARM_DATA[[#This Row],[Misc]]</f>
        <v>42.61</v>
      </c>
      <c r="K141" s="8">
        <f>FARM_DATA[[#This Row],[Total_Expenses]]</f>
        <v>562.09</v>
      </c>
      <c r="L141" s="30">
        <f>FARM_DATA[[#This Row],[Savings]]</f>
        <v>-168.58</v>
      </c>
      <c r="M141" s="5" t="str">
        <f>TEXT(CLEAN_TABLE[[#This Row],[Date]], "mmm")</f>
        <v>Aug</v>
      </c>
      <c r="N141" s="5">
        <f>YEAR(CLEAN_TABLE[[#This Row],[Date]])</f>
        <v>2024</v>
      </c>
      <c r="O141" s="5">
        <f>IF(CLEAN_TABLE[[#This Row],[Farmer_Type]]="Smart",0,1)</f>
        <v>1</v>
      </c>
      <c r="P141" s="7">
        <f>IFERROR(CLEAN_TABLE[[#This Row],[Savings]]/CLEAN_TABLE[[#This Row],[Income]],0)</f>
        <v>-0.42841168996188062</v>
      </c>
      <c r="Q141" s="7">
        <f>IF(CLEAN_TABLE[[#This Row],[Farmer_Type]]="Smart", 1 - (CLEAN_TABLE[[#This Row],[Irrigation]] / 70), 1 - (CLEAN_TABLE[[#This Row],[Irrigation]] / 150))</f>
        <v>0.50026666666666664</v>
      </c>
      <c r="R1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955.6</v>
      </c>
    </row>
    <row r="142" spans="1:19">
      <c r="A142" s="6">
        <f>FARM_DATA[[#This Row],[Date]]</f>
        <v>45523</v>
      </c>
      <c r="B142" s="5" t="str">
        <f>FARM_DATA[[#This Row],[Farmer_Type]]</f>
        <v>Smart</v>
      </c>
      <c r="C142" s="8">
        <f>FARM_DATA[[#This Row],[Income]]</f>
        <v>1171.1099999999999</v>
      </c>
      <c r="D142" s="8">
        <f>FARM_DATA[[#This Row],[Irrigation]]</f>
        <v>20.94</v>
      </c>
      <c r="E142" s="8">
        <f>FARM_DATA[[#This Row],[Seeds]]</f>
        <v>72.77</v>
      </c>
      <c r="F142" s="8">
        <f>FARM_DATA[[#This Row],[Fertilizer]]</f>
        <v>45.71</v>
      </c>
      <c r="G142" s="8">
        <f>FARM_DATA[[#This Row],[Labor]]</f>
        <v>127.67</v>
      </c>
      <c r="H142" s="8">
        <f>FARM_DATA[[#This Row],[Household]]</f>
        <v>129.88</v>
      </c>
      <c r="I142" s="8">
        <f>FARM_DATA[[#This Row],[Medical]]</f>
        <v>24.72</v>
      </c>
      <c r="J142" s="8">
        <f>FARM_DATA[[#This Row],[Misc]]</f>
        <v>28.69</v>
      </c>
      <c r="K142" s="8">
        <f>FARM_DATA[[#This Row],[Total_Expenses]]</f>
        <v>450.38</v>
      </c>
      <c r="L142" s="30">
        <f>FARM_DATA[[#This Row],[Savings]]</f>
        <v>720.73</v>
      </c>
      <c r="M142" s="5" t="str">
        <f>TEXT(CLEAN_TABLE[[#This Row],[Date]], "mmm")</f>
        <v>Aug</v>
      </c>
      <c r="N142" s="5">
        <f>YEAR(CLEAN_TABLE[[#This Row],[Date]])</f>
        <v>2024</v>
      </c>
      <c r="O142" s="5">
        <f>IF(CLEAN_TABLE[[#This Row],[Farmer_Type]]="Smart",0,1)</f>
        <v>0</v>
      </c>
      <c r="P142" s="7">
        <f>IFERROR(CLEAN_TABLE[[#This Row],[Savings]]/CLEAN_TABLE[[#This Row],[Income]],0)</f>
        <v>0.6154246825661126</v>
      </c>
      <c r="Q142" s="7">
        <f>IF(CLEAN_TABLE[[#This Row],[Farmer_Type]]="Smart", 1 - (CLEAN_TABLE[[#This Row],[Irrigation]] / 70), 1 - (CLEAN_TABLE[[#This Row],[Irrigation]] / 150))</f>
        <v>0.70085714285714285</v>
      </c>
      <c r="R1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1621.49</v>
      </c>
    </row>
    <row r="143" spans="1:19">
      <c r="A143" s="6">
        <f>FARM_DATA[[#This Row],[Date]]</f>
        <v>45524</v>
      </c>
      <c r="B143" s="5" t="str">
        <f>FARM_DATA[[#This Row],[Farmer_Type]]</f>
        <v>Traditional</v>
      </c>
      <c r="C143" s="8">
        <f>FARM_DATA[[#This Row],[Income]]</f>
        <v>346.79</v>
      </c>
      <c r="D143" s="8">
        <f>FARM_DATA[[#This Row],[Irrigation]]</f>
        <v>73.290000000000006</v>
      </c>
      <c r="E143" s="8">
        <f>FARM_DATA[[#This Row],[Seeds]]</f>
        <v>44.82</v>
      </c>
      <c r="F143" s="8">
        <f>FARM_DATA[[#This Row],[Fertilizer]]</f>
        <v>63.44</v>
      </c>
      <c r="G143" s="8">
        <f>FARM_DATA[[#This Row],[Labor]]</f>
        <v>150.34</v>
      </c>
      <c r="H143" s="8">
        <f>FARM_DATA[[#This Row],[Household]]</f>
        <v>163.61000000000001</v>
      </c>
      <c r="I143" s="8">
        <f>FARM_DATA[[#This Row],[Medical]]</f>
        <v>18.05</v>
      </c>
      <c r="J143" s="8">
        <f>FARM_DATA[[#This Row],[Misc]]</f>
        <v>41.57</v>
      </c>
      <c r="K143" s="8">
        <f>FARM_DATA[[#This Row],[Total_Expenses]]</f>
        <v>555.11</v>
      </c>
      <c r="L143" s="30">
        <f>FARM_DATA[[#This Row],[Savings]]</f>
        <v>-208.32</v>
      </c>
      <c r="M143" s="5" t="str">
        <f>TEXT(CLEAN_TABLE[[#This Row],[Date]], "mmm")</f>
        <v>Aug</v>
      </c>
      <c r="N143" s="5">
        <f>YEAR(CLEAN_TABLE[[#This Row],[Date]])</f>
        <v>2024</v>
      </c>
      <c r="O143" s="5">
        <f>IF(CLEAN_TABLE[[#This Row],[Farmer_Type]]="Smart",0,1)</f>
        <v>1</v>
      </c>
      <c r="P143" s="7">
        <f>IFERROR(CLEAN_TABLE[[#This Row],[Savings]]/CLEAN_TABLE[[#This Row],[Income]],0)</f>
        <v>-0.60070936301508115</v>
      </c>
      <c r="Q143" s="7">
        <f>IF(CLEAN_TABLE[[#This Row],[Farmer_Type]]="Smart", 1 - (CLEAN_TABLE[[#This Row],[Irrigation]] / 70), 1 - (CLEAN_TABLE[[#This Row],[Irrigation]] / 150))</f>
        <v>0.51139999999999997</v>
      </c>
      <c r="R1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901.91000000000008</v>
      </c>
    </row>
    <row r="144" spans="1:19">
      <c r="A144" s="6">
        <f>FARM_DATA[[#This Row],[Date]]</f>
        <v>45525</v>
      </c>
      <c r="B144" s="5" t="str">
        <f>FARM_DATA[[#This Row],[Farmer_Type]]</f>
        <v>Traditional</v>
      </c>
      <c r="C144" s="8">
        <f>FARM_DATA[[#This Row],[Income]]</f>
        <v>409.47</v>
      </c>
      <c r="D144" s="8">
        <f>FARM_DATA[[#This Row],[Irrigation]]</f>
        <v>57.72</v>
      </c>
      <c r="E144" s="8">
        <f>FARM_DATA[[#This Row],[Seeds]]</f>
        <v>48.96</v>
      </c>
      <c r="F144" s="8">
        <f>FARM_DATA[[#This Row],[Fertilizer]]</f>
        <v>69.02</v>
      </c>
      <c r="G144" s="8">
        <f>FARM_DATA[[#This Row],[Labor]]</f>
        <v>102.56</v>
      </c>
      <c r="H144" s="8">
        <f>FARM_DATA[[#This Row],[Household]]</f>
        <v>191.27</v>
      </c>
      <c r="I144" s="8">
        <f>FARM_DATA[[#This Row],[Medical]]</f>
        <v>18.8</v>
      </c>
      <c r="J144" s="8">
        <f>FARM_DATA[[#This Row],[Misc]]</f>
        <v>31.51</v>
      </c>
      <c r="K144" s="8">
        <f>FARM_DATA[[#This Row],[Total_Expenses]]</f>
        <v>519.85</v>
      </c>
      <c r="L144" s="30">
        <f>FARM_DATA[[#This Row],[Savings]]</f>
        <v>-110.37</v>
      </c>
      <c r="M144" s="5" t="str">
        <f>TEXT(CLEAN_TABLE[[#This Row],[Date]], "mmm")</f>
        <v>Aug</v>
      </c>
      <c r="N144" s="5">
        <f>YEAR(CLEAN_TABLE[[#This Row],[Date]])</f>
        <v>2024</v>
      </c>
      <c r="O144" s="5">
        <f>IF(CLEAN_TABLE[[#This Row],[Farmer_Type]]="Smart",0,1)</f>
        <v>1</v>
      </c>
      <c r="P144" s="7">
        <f>IFERROR(CLEAN_TABLE[[#This Row],[Savings]]/CLEAN_TABLE[[#This Row],[Income]],0)</f>
        <v>-0.26954355630449117</v>
      </c>
      <c r="Q144" s="7">
        <f>IF(CLEAN_TABLE[[#This Row],[Farmer_Type]]="Smart", 1 - (CLEAN_TABLE[[#This Row],[Irrigation]] / 70), 1 - (CLEAN_TABLE[[#This Row],[Irrigation]] / 150))</f>
        <v>0.61519999999999997</v>
      </c>
      <c r="R1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929.31</v>
      </c>
    </row>
    <row r="145" spans="1:19">
      <c r="A145" s="6">
        <f>FARM_DATA[[#This Row],[Date]]</f>
        <v>45526</v>
      </c>
      <c r="B145" s="5" t="str">
        <f>FARM_DATA[[#This Row],[Farmer_Type]]</f>
        <v>Traditional</v>
      </c>
      <c r="C145" s="8">
        <f>FARM_DATA[[#This Row],[Income]]</f>
        <v>341.35</v>
      </c>
      <c r="D145" s="8">
        <f>FARM_DATA[[#This Row],[Irrigation]]</f>
        <v>70.16</v>
      </c>
      <c r="E145" s="8">
        <f>FARM_DATA[[#This Row],[Seeds]]</f>
        <v>23.56</v>
      </c>
      <c r="F145" s="8">
        <f>FARM_DATA[[#This Row],[Fertilizer]]</f>
        <v>26.2</v>
      </c>
      <c r="G145" s="8">
        <f>FARM_DATA[[#This Row],[Labor]]</f>
        <v>149.86000000000001</v>
      </c>
      <c r="H145" s="8">
        <f>FARM_DATA[[#This Row],[Household]]</f>
        <v>124.59</v>
      </c>
      <c r="I145" s="8">
        <f>FARM_DATA[[#This Row],[Medical]]</f>
        <v>12.07</v>
      </c>
      <c r="J145" s="8">
        <f>FARM_DATA[[#This Row],[Misc]]</f>
        <v>4.16</v>
      </c>
      <c r="K145" s="8">
        <f>FARM_DATA[[#This Row],[Total_Expenses]]</f>
        <v>410.59</v>
      </c>
      <c r="L145" s="30">
        <f>FARM_DATA[[#This Row],[Savings]]</f>
        <v>-69.25</v>
      </c>
      <c r="M145" s="5" t="str">
        <f>TEXT(CLEAN_TABLE[[#This Row],[Date]], "mmm")</f>
        <v>Aug</v>
      </c>
      <c r="N145" s="5">
        <f>YEAR(CLEAN_TABLE[[#This Row],[Date]])</f>
        <v>2024</v>
      </c>
      <c r="O145" s="5">
        <f>IF(CLEAN_TABLE[[#This Row],[Farmer_Type]]="Smart",0,1)</f>
        <v>1</v>
      </c>
      <c r="P145" s="7">
        <f>IFERROR(CLEAN_TABLE[[#This Row],[Savings]]/CLEAN_TABLE[[#This Row],[Income]],0)</f>
        <v>-0.20287095356672036</v>
      </c>
      <c r="Q145" s="7">
        <f>IF(CLEAN_TABLE[[#This Row],[Farmer_Type]]="Smart", 1 - (CLEAN_TABLE[[#This Row],[Irrigation]] / 70), 1 - (CLEAN_TABLE[[#This Row],[Irrigation]] / 150))</f>
        <v>0.53226666666666667</v>
      </c>
      <c r="R1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751.95</v>
      </c>
    </row>
    <row r="146" spans="1:19">
      <c r="A146" s="6">
        <f>FARM_DATA[[#This Row],[Date]]</f>
        <v>45527</v>
      </c>
      <c r="B146" s="5" t="str">
        <f>FARM_DATA[[#This Row],[Farmer_Type]]</f>
        <v>Smart</v>
      </c>
      <c r="C146" s="8">
        <f>FARM_DATA[[#This Row],[Income]]</f>
        <v>822.21</v>
      </c>
      <c r="D146" s="8">
        <f>FARM_DATA[[#This Row],[Irrigation]]</f>
        <v>8.3800000000000008</v>
      </c>
      <c r="E146" s="8">
        <f>FARM_DATA[[#This Row],[Seeds]]</f>
        <v>92.84</v>
      </c>
      <c r="F146" s="8">
        <f>FARM_DATA[[#This Row],[Fertilizer]]</f>
        <v>110.29</v>
      </c>
      <c r="G146" s="8">
        <f>FARM_DATA[[#This Row],[Labor]]</f>
        <v>81.239999999999995</v>
      </c>
      <c r="H146" s="8">
        <f>FARM_DATA[[#This Row],[Household]]</f>
        <v>248.84</v>
      </c>
      <c r="I146" s="8">
        <f>FARM_DATA[[#This Row],[Medical]]</f>
        <v>30.84</v>
      </c>
      <c r="J146" s="8">
        <f>FARM_DATA[[#This Row],[Misc]]</f>
        <v>35.130000000000003</v>
      </c>
      <c r="K146" s="8">
        <f>FARM_DATA[[#This Row],[Total_Expenses]]</f>
        <v>607.55999999999995</v>
      </c>
      <c r="L146" s="30">
        <f>FARM_DATA[[#This Row],[Savings]]</f>
        <v>214.65</v>
      </c>
      <c r="M146" s="5" t="str">
        <f>TEXT(CLEAN_TABLE[[#This Row],[Date]], "mmm")</f>
        <v>Aug</v>
      </c>
      <c r="N146" s="5">
        <f>YEAR(CLEAN_TABLE[[#This Row],[Date]])</f>
        <v>2024</v>
      </c>
      <c r="O146" s="5">
        <f>IF(CLEAN_TABLE[[#This Row],[Farmer_Type]]="Smart",0,1)</f>
        <v>0</v>
      </c>
      <c r="P146" s="7">
        <f>IFERROR(CLEAN_TABLE[[#This Row],[Savings]]/CLEAN_TABLE[[#This Row],[Income]],0)</f>
        <v>0.26106469150217099</v>
      </c>
      <c r="Q146" s="7">
        <f>IF(CLEAN_TABLE[[#This Row],[Farmer_Type]]="Smart", 1 - (CLEAN_TABLE[[#This Row],[Irrigation]] / 70), 1 - (CLEAN_TABLE[[#This Row],[Irrigation]] / 150))</f>
        <v>0.88028571428571423</v>
      </c>
      <c r="R1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1429.77</v>
      </c>
    </row>
    <row r="147" spans="1:19">
      <c r="A147" s="6">
        <f>FARM_DATA[[#This Row],[Date]]</f>
        <v>45528</v>
      </c>
      <c r="B147" s="5" t="str">
        <f>FARM_DATA[[#This Row],[Farmer_Type]]</f>
        <v>Smart</v>
      </c>
      <c r="C147" s="8">
        <f>FARM_DATA[[#This Row],[Income]]</f>
        <v>450.12</v>
      </c>
      <c r="D147" s="8">
        <f>FARM_DATA[[#This Row],[Irrigation]]</f>
        <v>26.45</v>
      </c>
      <c r="E147" s="8">
        <f>FARM_DATA[[#This Row],[Seeds]]</f>
        <v>32.21</v>
      </c>
      <c r="F147" s="8">
        <f>FARM_DATA[[#This Row],[Fertilizer]]</f>
        <v>30.64</v>
      </c>
      <c r="G147" s="8">
        <f>FARM_DATA[[#This Row],[Labor]]</f>
        <v>115.45</v>
      </c>
      <c r="H147" s="8">
        <f>FARM_DATA[[#This Row],[Household]]</f>
        <v>255.39</v>
      </c>
      <c r="I147" s="8">
        <f>FARM_DATA[[#This Row],[Medical]]</f>
        <v>34.46</v>
      </c>
      <c r="J147" s="8">
        <f>FARM_DATA[[#This Row],[Misc]]</f>
        <v>48.46</v>
      </c>
      <c r="K147" s="8">
        <f>FARM_DATA[[#This Row],[Total_Expenses]]</f>
        <v>543.05999999999995</v>
      </c>
      <c r="L147" s="30">
        <f>FARM_DATA[[#This Row],[Savings]]</f>
        <v>-92.94</v>
      </c>
      <c r="M147" s="5" t="str">
        <f>TEXT(CLEAN_TABLE[[#This Row],[Date]], "mmm")</f>
        <v>Aug</v>
      </c>
      <c r="N147" s="5">
        <f>YEAR(CLEAN_TABLE[[#This Row],[Date]])</f>
        <v>2024</v>
      </c>
      <c r="O147" s="5">
        <f>IF(CLEAN_TABLE[[#This Row],[Farmer_Type]]="Smart",0,1)</f>
        <v>0</v>
      </c>
      <c r="P147" s="7">
        <f>IFERROR(CLEAN_TABLE[[#This Row],[Savings]]/CLEAN_TABLE[[#This Row],[Income]],0)</f>
        <v>-0.20647827246067715</v>
      </c>
      <c r="Q147" s="7">
        <f>IF(CLEAN_TABLE[[#This Row],[Farmer_Type]]="Smart", 1 - (CLEAN_TABLE[[#This Row],[Irrigation]] / 70), 1 - (CLEAN_TABLE[[#This Row],[Irrigation]] / 150))</f>
        <v>0.62214285714285711</v>
      </c>
      <c r="R1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993.18000000000006</v>
      </c>
    </row>
    <row r="148" spans="1:19">
      <c r="A148" s="6">
        <f>FARM_DATA[[#This Row],[Date]]</f>
        <v>45529</v>
      </c>
      <c r="B148" s="5" t="str">
        <f>FARM_DATA[[#This Row],[Farmer_Type]]</f>
        <v>Smart</v>
      </c>
      <c r="C148" s="8">
        <f>FARM_DATA[[#This Row],[Income]]</f>
        <v>1068.95</v>
      </c>
      <c r="D148" s="8">
        <f>FARM_DATA[[#This Row],[Irrigation]]</f>
        <v>19.27</v>
      </c>
      <c r="E148" s="8">
        <f>FARM_DATA[[#This Row],[Seeds]]</f>
        <v>75.180000000000007</v>
      </c>
      <c r="F148" s="8">
        <f>FARM_DATA[[#This Row],[Fertilizer]]</f>
        <v>88.44</v>
      </c>
      <c r="G148" s="8">
        <f>FARM_DATA[[#This Row],[Labor]]</f>
        <v>97.08</v>
      </c>
      <c r="H148" s="8">
        <f>FARM_DATA[[#This Row],[Household]]</f>
        <v>167.81</v>
      </c>
      <c r="I148" s="8">
        <f>FARM_DATA[[#This Row],[Medical]]</f>
        <v>15.21</v>
      </c>
      <c r="J148" s="8">
        <f>FARM_DATA[[#This Row],[Misc]]</f>
        <v>35.79</v>
      </c>
      <c r="K148" s="8">
        <f>FARM_DATA[[#This Row],[Total_Expenses]]</f>
        <v>498.78</v>
      </c>
      <c r="L148" s="30">
        <f>FARM_DATA[[#This Row],[Savings]]</f>
        <v>570.16999999999996</v>
      </c>
      <c r="M148" s="5" t="str">
        <f>TEXT(CLEAN_TABLE[[#This Row],[Date]], "mmm")</f>
        <v>Aug</v>
      </c>
      <c r="N148" s="5">
        <f>YEAR(CLEAN_TABLE[[#This Row],[Date]])</f>
        <v>2024</v>
      </c>
      <c r="O148" s="5">
        <f>IF(CLEAN_TABLE[[#This Row],[Farmer_Type]]="Smart",0,1)</f>
        <v>0</v>
      </c>
      <c r="P148" s="7">
        <f>IFERROR(CLEAN_TABLE[[#This Row],[Savings]]/CLEAN_TABLE[[#This Row],[Income]],0)</f>
        <v>0.53339258150521529</v>
      </c>
      <c r="Q148" s="7">
        <f>IF(CLEAN_TABLE[[#This Row],[Farmer_Type]]="Smart", 1 - (CLEAN_TABLE[[#This Row],[Irrigation]] / 70), 1 - (CLEAN_TABLE[[#This Row],[Irrigation]] / 150))</f>
        <v>0.72471428571428564</v>
      </c>
      <c r="R1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1567.73</v>
      </c>
    </row>
    <row r="149" spans="1:19">
      <c r="A149" s="6">
        <f>FARM_DATA[[#This Row],[Date]]</f>
        <v>45530</v>
      </c>
      <c r="B149" s="5" t="str">
        <f>FARM_DATA[[#This Row],[Farmer_Type]]</f>
        <v>Traditional</v>
      </c>
      <c r="C149" s="8">
        <f>FARM_DATA[[#This Row],[Income]]</f>
        <v>265.35000000000002</v>
      </c>
      <c r="D149" s="8">
        <f>FARM_DATA[[#This Row],[Irrigation]]</f>
        <v>69.02</v>
      </c>
      <c r="E149" s="8">
        <f>FARM_DATA[[#This Row],[Seeds]]</f>
        <v>25.17</v>
      </c>
      <c r="F149" s="8">
        <f>FARM_DATA[[#This Row],[Fertilizer]]</f>
        <v>32.93</v>
      </c>
      <c r="G149" s="8">
        <f>FARM_DATA[[#This Row],[Labor]]</f>
        <v>114.5</v>
      </c>
      <c r="H149" s="8">
        <f>FARM_DATA[[#This Row],[Household]]</f>
        <v>191.76</v>
      </c>
      <c r="I149" s="8">
        <f>FARM_DATA[[#This Row],[Medical]]</f>
        <v>27.35</v>
      </c>
      <c r="J149" s="8">
        <f>FARM_DATA[[#This Row],[Misc]]</f>
        <v>11.15</v>
      </c>
      <c r="K149" s="8">
        <f>FARM_DATA[[#This Row],[Total_Expenses]]</f>
        <v>471.87</v>
      </c>
      <c r="L149" s="30">
        <f>FARM_DATA[[#This Row],[Savings]]</f>
        <v>-206.52</v>
      </c>
      <c r="M149" s="5" t="str">
        <f>TEXT(CLEAN_TABLE[[#This Row],[Date]], "mmm")</f>
        <v>Aug</v>
      </c>
      <c r="N149" s="5">
        <f>YEAR(CLEAN_TABLE[[#This Row],[Date]])</f>
        <v>2024</v>
      </c>
      <c r="O149" s="5">
        <f>IF(CLEAN_TABLE[[#This Row],[Farmer_Type]]="Smart",0,1)</f>
        <v>1</v>
      </c>
      <c r="P149" s="7">
        <f>IFERROR(CLEAN_TABLE[[#This Row],[Savings]]/CLEAN_TABLE[[#This Row],[Income]],0)</f>
        <v>-0.77829282080271334</v>
      </c>
      <c r="Q149" s="7">
        <f>IF(CLEAN_TABLE[[#This Row],[Farmer_Type]]="Smart", 1 - (CLEAN_TABLE[[#This Row],[Irrigation]] / 70), 1 - (CLEAN_TABLE[[#This Row],[Irrigation]] / 150))</f>
        <v>0.53986666666666672</v>
      </c>
      <c r="R1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737.23</v>
      </c>
    </row>
    <row r="150" spans="1:19">
      <c r="A150" s="6">
        <f>FARM_DATA[[#This Row],[Date]]</f>
        <v>45531</v>
      </c>
      <c r="B150" s="5" t="str">
        <f>FARM_DATA[[#This Row],[Farmer_Type]]</f>
        <v>Traditional</v>
      </c>
      <c r="C150" s="8">
        <f>FARM_DATA[[#This Row],[Income]]</f>
        <v>300.52</v>
      </c>
      <c r="D150" s="8">
        <f>FARM_DATA[[#This Row],[Irrigation]]</f>
        <v>79.41</v>
      </c>
      <c r="E150" s="8">
        <f>FARM_DATA[[#This Row],[Seeds]]</f>
        <v>25.26</v>
      </c>
      <c r="F150" s="8">
        <f>FARM_DATA[[#This Row],[Fertilizer]]</f>
        <v>50.51</v>
      </c>
      <c r="G150" s="8">
        <f>FARM_DATA[[#This Row],[Labor]]</f>
        <v>123.75</v>
      </c>
      <c r="H150" s="8">
        <f>FARM_DATA[[#This Row],[Household]]</f>
        <v>120.95</v>
      </c>
      <c r="I150" s="8">
        <f>FARM_DATA[[#This Row],[Medical]]</f>
        <v>20.84</v>
      </c>
      <c r="J150" s="8">
        <f>FARM_DATA[[#This Row],[Misc]]</f>
        <v>13.99</v>
      </c>
      <c r="K150" s="8">
        <f>FARM_DATA[[#This Row],[Total_Expenses]]</f>
        <v>434.71</v>
      </c>
      <c r="L150" s="30">
        <f>FARM_DATA[[#This Row],[Savings]]</f>
        <v>-134.19</v>
      </c>
      <c r="M150" s="5" t="str">
        <f>TEXT(CLEAN_TABLE[[#This Row],[Date]], "mmm")</f>
        <v>Aug</v>
      </c>
      <c r="N150" s="5">
        <f>YEAR(CLEAN_TABLE[[#This Row],[Date]])</f>
        <v>2024</v>
      </c>
      <c r="O150" s="5">
        <f>IF(CLEAN_TABLE[[#This Row],[Farmer_Type]]="Smart",0,1)</f>
        <v>1</v>
      </c>
      <c r="P150" s="7">
        <f>IFERROR(CLEAN_TABLE[[#This Row],[Savings]]/CLEAN_TABLE[[#This Row],[Income]],0)</f>
        <v>-0.44652602156262483</v>
      </c>
      <c r="Q150" s="7">
        <f>IF(CLEAN_TABLE[[#This Row],[Farmer_Type]]="Smart", 1 - (CLEAN_TABLE[[#This Row],[Irrigation]] / 70), 1 - (CLEAN_TABLE[[#This Row],[Irrigation]] / 150))</f>
        <v>0.47060000000000002</v>
      </c>
      <c r="R1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735.23</v>
      </c>
    </row>
    <row r="151" spans="1:19">
      <c r="A151" s="6">
        <f>FARM_DATA[[#This Row],[Date]]</f>
        <v>45532</v>
      </c>
      <c r="B151" s="5" t="str">
        <f>FARM_DATA[[#This Row],[Farmer_Type]]</f>
        <v>Smart</v>
      </c>
      <c r="C151" s="8">
        <f>FARM_DATA[[#This Row],[Income]]</f>
        <v>829.73</v>
      </c>
      <c r="D151" s="8">
        <f>FARM_DATA[[#This Row],[Irrigation]]</f>
        <v>16.600000000000001</v>
      </c>
      <c r="E151" s="8">
        <f>FARM_DATA[[#This Row],[Seeds]]</f>
        <v>28.14</v>
      </c>
      <c r="F151" s="8">
        <f>FARM_DATA[[#This Row],[Fertilizer]]</f>
        <v>93.21</v>
      </c>
      <c r="G151" s="8">
        <f>FARM_DATA[[#This Row],[Labor]]</f>
        <v>94.61</v>
      </c>
      <c r="H151" s="8">
        <f>FARM_DATA[[#This Row],[Household]]</f>
        <v>189.34</v>
      </c>
      <c r="I151" s="8">
        <f>FARM_DATA[[#This Row],[Medical]]</f>
        <v>24.02</v>
      </c>
      <c r="J151" s="8">
        <f>FARM_DATA[[#This Row],[Misc]]</f>
        <v>60.46</v>
      </c>
      <c r="K151" s="8">
        <f>FARM_DATA[[#This Row],[Total_Expenses]]</f>
        <v>506.38</v>
      </c>
      <c r="L151" s="30">
        <f>FARM_DATA[[#This Row],[Savings]]</f>
        <v>323.35000000000002</v>
      </c>
      <c r="M151" s="5" t="str">
        <f>TEXT(CLEAN_TABLE[[#This Row],[Date]], "mmm")</f>
        <v>Aug</v>
      </c>
      <c r="N151" s="5">
        <f>YEAR(CLEAN_TABLE[[#This Row],[Date]])</f>
        <v>2024</v>
      </c>
      <c r="O151" s="5">
        <f>IF(CLEAN_TABLE[[#This Row],[Farmer_Type]]="Smart",0,1)</f>
        <v>0</v>
      </c>
      <c r="P151" s="7">
        <f>IFERROR(CLEAN_TABLE[[#This Row],[Savings]]/CLEAN_TABLE[[#This Row],[Income]],0)</f>
        <v>0.38970508478661736</v>
      </c>
      <c r="Q151" s="7">
        <f>IF(CLEAN_TABLE[[#This Row],[Farmer_Type]]="Smart", 1 - (CLEAN_TABLE[[#This Row],[Irrigation]] / 70), 1 - (CLEAN_TABLE[[#This Row],[Irrigation]] / 150))</f>
        <v>0.7628571428571429</v>
      </c>
      <c r="R1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1336.11</v>
      </c>
    </row>
    <row r="152" spans="1:19">
      <c r="A152" s="6">
        <f>FARM_DATA[[#This Row],[Date]]</f>
        <v>45533</v>
      </c>
      <c r="B152" s="5" t="str">
        <f>FARM_DATA[[#This Row],[Farmer_Type]]</f>
        <v>Traditional</v>
      </c>
      <c r="C152" s="8">
        <f>FARM_DATA[[#This Row],[Income]]</f>
        <v>356.26</v>
      </c>
      <c r="D152" s="8">
        <f>FARM_DATA[[#This Row],[Irrigation]]</f>
        <v>65.709999999999994</v>
      </c>
      <c r="E152" s="8">
        <f>FARM_DATA[[#This Row],[Seeds]]</f>
        <v>41.83</v>
      </c>
      <c r="F152" s="8">
        <f>FARM_DATA[[#This Row],[Fertilizer]]</f>
        <v>65.87</v>
      </c>
      <c r="G152" s="8">
        <f>FARM_DATA[[#This Row],[Labor]]</f>
        <v>111.22</v>
      </c>
      <c r="H152" s="8">
        <f>FARM_DATA[[#This Row],[Household]]</f>
        <v>151.22</v>
      </c>
      <c r="I152" s="8">
        <f>FARM_DATA[[#This Row],[Medical]]</f>
        <v>14.38</v>
      </c>
      <c r="J152" s="8">
        <f>FARM_DATA[[#This Row],[Misc]]</f>
        <v>22.05</v>
      </c>
      <c r="K152" s="8">
        <f>FARM_DATA[[#This Row],[Total_Expenses]]</f>
        <v>472.27</v>
      </c>
      <c r="L152" s="30">
        <f>FARM_DATA[[#This Row],[Savings]]</f>
        <v>-116.01</v>
      </c>
      <c r="M152" s="5" t="str">
        <f>TEXT(CLEAN_TABLE[[#This Row],[Date]], "mmm")</f>
        <v>Aug</v>
      </c>
      <c r="N152" s="5">
        <f>YEAR(CLEAN_TABLE[[#This Row],[Date]])</f>
        <v>2024</v>
      </c>
      <c r="O152" s="5">
        <f>IF(CLEAN_TABLE[[#This Row],[Farmer_Type]]="Smart",0,1)</f>
        <v>1</v>
      </c>
      <c r="P152" s="7">
        <f>IFERROR(CLEAN_TABLE[[#This Row],[Savings]]/CLEAN_TABLE[[#This Row],[Income]],0)</f>
        <v>-0.3256329646887105</v>
      </c>
      <c r="Q152" s="7">
        <f>IF(CLEAN_TABLE[[#This Row],[Farmer_Type]]="Smart", 1 - (CLEAN_TABLE[[#This Row],[Irrigation]] / 70), 1 - (CLEAN_TABLE[[#This Row],[Irrigation]] / 150))</f>
        <v>0.5619333333333334</v>
      </c>
      <c r="R1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828.54</v>
      </c>
    </row>
    <row r="153" spans="1:19">
      <c r="A153" s="6">
        <f>FARM_DATA[[#This Row],[Date]]</f>
        <v>45534</v>
      </c>
      <c r="B153" s="5" t="str">
        <f>FARM_DATA[[#This Row],[Farmer_Type]]</f>
        <v>Smart</v>
      </c>
      <c r="C153" s="8">
        <f>FARM_DATA[[#This Row],[Income]]</f>
        <v>669.48</v>
      </c>
      <c r="D153" s="8">
        <f>FARM_DATA[[#This Row],[Irrigation]]</f>
        <v>23.75</v>
      </c>
      <c r="E153" s="8">
        <f>FARM_DATA[[#This Row],[Seeds]]</f>
        <v>35.119999999999997</v>
      </c>
      <c r="F153" s="8">
        <f>FARM_DATA[[#This Row],[Fertilizer]]</f>
        <v>59.21</v>
      </c>
      <c r="G153" s="8">
        <f>FARM_DATA[[#This Row],[Labor]]</f>
        <v>80.63</v>
      </c>
      <c r="H153" s="8">
        <f>FARM_DATA[[#This Row],[Household]]</f>
        <v>201.32</v>
      </c>
      <c r="I153" s="8">
        <f>FARM_DATA[[#This Row],[Medical]]</f>
        <v>19.350000000000001</v>
      </c>
      <c r="J153" s="8">
        <f>FARM_DATA[[#This Row],[Misc]]</f>
        <v>58.72</v>
      </c>
      <c r="K153" s="8">
        <f>FARM_DATA[[#This Row],[Total_Expenses]]</f>
        <v>478.1</v>
      </c>
      <c r="L153" s="30">
        <f>FARM_DATA[[#This Row],[Savings]]</f>
        <v>191.38</v>
      </c>
      <c r="M153" s="5" t="str">
        <f>TEXT(CLEAN_TABLE[[#This Row],[Date]], "mmm")</f>
        <v>Aug</v>
      </c>
      <c r="N153" s="5">
        <f>YEAR(CLEAN_TABLE[[#This Row],[Date]])</f>
        <v>2024</v>
      </c>
      <c r="O153" s="5">
        <f>IF(CLEAN_TABLE[[#This Row],[Farmer_Type]]="Smart",0,1)</f>
        <v>0</v>
      </c>
      <c r="P153" s="7">
        <f>IFERROR(CLEAN_TABLE[[#This Row],[Savings]]/CLEAN_TABLE[[#This Row],[Income]],0)</f>
        <v>0.28586365537432035</v>
      </c>
      <c r="Q153" s="7">
        <f>IF(CLEAN_TABLE[[#This Row],[Farmer_Type]]="Smart", 1 - (CLEAN_TABLE[[#This Row],[Irrigation]] / 70), 1 - (CLEAN_TABLE[[#This Row],[Irrigation]] / 150))</f>
        <v>0.6607142857142857</v>
      </c>
      <c r="R1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1147.58</v>
      </c>
    </row>
    <row r="154" spans="1:19">
      <c r="A154" s="6">
        <f>FARM_DATA[[#This Row],[Date]]</f>
        <v>45535</v>
      </c>
      <c r="B154" s="5" t="str">
        <f>FARM_DATA[[#This Row],[Farmer_Type]]</f>
        <v>Traditional</v>
      </c>
      <c r="C154" s="8">
        <f>FARM_DATA[[#This Row],[Income]]</f>
        <v>316.33</v>
      </c>
      <c r="D154" s="8">
        <f>FARM_DATA[[#This Row],[Irrigation]]</f>
        <v>72.790000000000006</v>
      </c>
      <c r="E154" s="8">
        <f>FARM_DATA[[#This Row],[Seeds]]</f>
        <v>27.47</v>
      </c>
      <c r="F154" s="8">
        <f>FARM_DATA[[#This Row],[Fertilizer]]</f>
        <v>97.9</v>
      </c>
      <c r="G154" s="8">
        <f>FARM_DATA[[#This Row],[Labor]]</f>
        <v>80.31</v>
      </c>
      <c r="H154" s="8">
        <f>FARM_DATA[[#This Row],[Household]]</f>
        <v>159.29</v>
      </c>
      <c r="I154" s="8">
        <f>FARM_DATA[[#This Row],[Medical]]</f>
        <v>25.07</v>
      </c>
      <c r="J154" s="8">
        <f>FARM_DATA[[#This Row],[Misc]]</f>
        <v>34.97</v>
      </c>
      <c r="K154" s="8">
        <f>FARM_DATA[[#This Row],[Total_Expenses]]</f>
        <v>497.8</v>
      </c>
      <c r="L154" s="30">
        <f>FARM_DATA[[#This Row],[Savings]]</f>
        <v>-181.48</v>
      </c>
      <c r="M154" s="5" t="str">
        <f>TEXT(CLEAN_TABLE[[#This Row],[Date]], "mmm")</f>
        <v>Aug</v>
      </c>
      <c r="N154" s="5">
        <f>YEAR(CLEAN_TABLE[[#This Row],[Date]])</f>
        <v>2024</v>
      </c>
      <c r="O154" s="5">
        <f>IF(CLEAN_TABLE[[#This Row],[Farmer_Type]]="Smart",0,1)</f>
        <v>1</v>
      </c>
      <c r="P154" s="7">
        <f>IFERROR(CLEAN_TABLE[[#This Row],[Savings]]/CLEAN_TABLE[[#This Row],[Income]],0)</f>
        <v>-0.57370467549710746</v>
      </c>
      <c r="Q154" s="7">
        <f>IF(CLEAN_TABLE[[#This Row],[Farmer_Type]]="Smart", 1 - (CLEAN_TABLE[[#This Row],[Irrigation]] / 70), 1 - (CLEAN_TABLE[[#This Row],[Irrigation]] / 150))</f>
        <v>0.51473333333333327</v>
      </c>
      <c r="R1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814.13</v>
      </c>
    </row>
    <row r="155" spans="1:19">
      <c r="A155" s="6">
        <f>FARM_DATA[[#This Row],[Date]]</f>
        <v>45536</v>
      </c>
      <c r="B155" s="5" t="str">
        <f>FARM_DATA[[#This Row],[Farmer_Type]]</f>
        <v>Traditional</v>
      </c>
      <c r="C155" s="8">
        <f>FARM_DATA[[#This Row],[Income]]</f>
        <v>340.74</v>
      </c>
      <c r="D155" s="8">
        <f>FARM_DATA[[#This Row],[Irrigation]]</f>
        <v>68.7</v>
      </c>
      <c r="E155" s="8">
        <f>FARM_DATA[[#This Row],[Seeds]]</f>
        <v>40.659999999999997</v>
      </c>
      <c r="F155" s="8">
        <f>FARM_DATA[[#This Row],[Fertilizer]]</f>
        <v>52.06</v>
      </c>
      <c r="G155" s="8">
        <f>FARM_DATA[[#This Row],[Labor]]</f>
        <v>134.1</v>
      </c>
      <c r="H155" s="8">
        <f>FARM_DATA[[#This Row],[Household]]</f>
        <v>216.32</v>
      </c>
      <c r="I155" s="8">
        <f>FARM_DATA[[#This Row],[Medical]]</f>
        <v>15.54</v>
      </c>
      <c r="J155" s="8">
        <f>FARM_DATA[[#This Row],[Misc]]</f>
        <v>13.56</v>
      </c>
      <c r="K155" s="8">
        <f>FARM_DATA[[#This Row],[Total_Expenses]]</f>
        <v>540.92999999999995</v>
      </c>
      <c r="L155" s="30">
        <f>FARM_DATA[[#This Row],[Savings]]</f>
        <v>-200.2</v>
      </c>
      <c r="M155" s="5" t="str">
        <f>TEXT(CLEAN_TABLE[[#This Row],[Date]], "mmm")</f>
        <v>Sep</v>
      </c>
      <c r="N155" s="5">
        <f>YEAR(CLEAN_TABLE[[#This Row],[Date]])</f>
        <v>2024</v>
      </c>
      <c r="O155" s="5">
        <f>IF(CLEAN_TABLE[[#This Row],[Farmer_Type]]="Smart",0,1)</f>
        <v>1</v>
      </c>
      <c r="P155" s="7">
        <f>IFERROR(CLEAN_TABLE[[#This Row],[Savings]]/CLEAN_TABLE[[#This Row],[Income]],0)</f>
        <v>-0.58754475553207719</v>
      </c>
      <c r="Q155" s="7">
        <f>IF(CLEAN_TABLE[[#This Row],[Farmer_Type]]="Smart", 1 - (CLEAN_TABLE[[#This Row],[Irrigation]] / 70), 1 - (CLEAN_TABLE[[#This Row],[Irrigation]] / 150))</f>
        <v>0.54200000000000004</v>
      </c>
      <c r="R1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881.67999999999984</v>
      </c>
    </row>
    <row r="156" spans="1:19">
      <c r="A156" s="6">
        <f>FARM_DATA[[#This Row],[Date]]</f>
        <v>45537</v>
      </c>
      <c r="B156" s="5" t="str">
        <f>FARM_DATA[[#This Row],[Farmer_Type]]</f>
        <v>Traditional</v>
      </c>
      <c r="C156" s="8">
        <f>FARM_DATA[[#This Row],[Income]]</f>
        <v>345.59</v>
      </c>
      <c r="D156" s="8">
        <f>FARM_DATA[[#This Row],[Irrigation]]</f>
        <v>95.8</v>
      </c>
      <c r="E156" s="8">
        <f>FARM_DATA[[#This Row],[Seeds]]</f>
        <v>27.94</v>
      </c>
      <c r="F156" s="8">
        <f>FARM_DATA[[#This Row],[Fertilizer]]</f>
        <v>87.78</v>
      </c>
      <c r="G156" s="8">
        <f>FARM_DATA[[#This Row],[Labor]]</f>
        <v>151.94</v>
      </c>
      <c r="H156" s="8">
        <f>FARM_DATA[[#This Row],[Household]]</f>
        <v>133.38999999999999</v>
      </c>
      <c r="I156" s="8">
        <f>FARM_DATA[[#This Row],[Medical]]</f>
        <v>24.55</v>
      </c>
      <c r="J156" s="8">
        <f>FARM_DATA[[#This Row],[Misc]]</f>
        <v>49.54</v>
      </c>
      <c r="K156" s="8">
        <f>FARM_DATA[[#This Row],[Total_Expenses]]</f>
        <v>570.95000000000005</v>
      </c>
      <c r="L156" s="30">
        <f>FARM_DATA[[#This Row],[Savings]]</f>
        <v>-225.37</v>
      </c>
      <c r="M156" s="5" t="str">
        <f>TEXT(CLEAN_TABLE[[#This Row],[Date]], "mmm")</f>
        <v>Sep</v>
      </c>
      <c r="N156" s="5">
        <f>YEAR(CLEAN_TABLE[[#This Row],[Date]])</f>
        <v>2024</v>
      </c>
      <c r="O156" s="5">
        <f>IF(CLEAN_TABLE[[#This Row],[Farmer_Type]]="Smart",0,1)</f>
        <v>1</v>
      </c>
      <c r="P156" s="7">
        <f>IFERROR(CLEAN_TABLE[[#This Row],[Savings]]/CLEAN_TABLE[[#This Row],[Income]],0)</f>
        <v>-0.65213113805376322</v>
      </c>
      <c r="Q156" s="7">
        <f>IF(CLEAN_TABLE[[#This Row],[Farmer_Type]]="Smart", 1 - (CLEAN_TABLE[[#This Row],[Irrigation]] / 70), 1 - (CLEAN_TABLE[[#This Row],[Irrigation]] / 150))</f>
        <v>0.3613333333333334</v>
      </c>
      <c r="R1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916.52999999999986</v>
      </c>
    </row>
    <row r="157" spans="1:19">
      <c r="A157" s="6">
        <f>FARM_DATA[[#This Row],[Date]]</f>
        <v>45538</v>
      </c>
      <c r="B157" s="5" t="str">
        <f>FARM_DATA[[#This Row],[Farmer_Type]]</f>
        <v>Traditional</v>
      </c>
      <c r="C157" s="8">
        <f>FARM_DATA[[#This Row],[Income]]</f>
        <v>331.04</v>
      </c>
      <c r="D157" s="8">
        <f>FARM_DATA[[#This Row],[Irrigation]]</f>
        <v>67.959999999999994</v>
      </c>
      <c r="E157" s="8">
        <f>FARM_DATA[[#This Row],[Seeds]]</f>
        <v>31.27</v>
      </c>
      <c r="F157" s="8">
        <f>FARM_DATA[[#This Row],[Fertilizer]]</f>
        <v>34.700000000000003</v>
      </c>
      <c r="G157" s="8">
        <f>FARM_DATA[[#This Row],[Labor]]</f>
        <v>93.77</v>
      </c>
      <c r="H157" s="8">
        <f>FARM_DATA[[#This Row],[Household]]</f>
        <v>113.28</v>
      </c>
      <c r="I157" s="8">
        <f>FARM_DATA[[#This Row],[Medical]]</f>
        <v>20.27</v>
      </c>
      <c r="J157" s="8">
        <f>FARM_DATA[[#This Row],[Misc]]</f>
        <v>20.76</v>
      </c>
      <c r="K157" s="8">
        <f>FARM_DATA[[#This Row],[Total_Expenses]]</f>
        <v>382.03</v>
      </c>
      <c r="L157" s="30">
        <f>FARM_DATA[[#This Row],[Savings]]</f>
        <v>-50.98</v>
      </c>
      <c r="M157" s="5" t="str">
        <f>TEXT(CLEAN_TABLE[[#This Row],[Date]], "mmm")</f>
        <v>Sep</v>
      </c>
      <c r="N157" s="5">
        <f>YEAR(CLEAN_TABLE[[#This Row],[Date]])</f>
        <v>2024</v>
      </c>
      <c r="O157" s="5">
        <f>IF(CLEAN_TABLE[[#This Row],[Farmer_Type]]="Smart",0,1)</f>
        <v>1</v>
      </c>
      <c r="P157" s="7">
        <f>IFERROR(CLEAN_TABLE[[#This Row],[Savings]]/CLEAN_TABLE[[#This Row],[Income]],0)</f>
        <v>-0.15399951667472206</v>
      </c>
      <c r="Q157" s="7">
        <f>IF(CLEAN_TABLE[[#This Row],[Farmer_Type]]="Smart", 1 - (CLEAN_TABLE[[#This Row],[Irrigation]] / 70), 1 - (CLEAN_TABLE[[#This Row],[Irrigation]] / 150))</f>
        <v>0.54693333333333338</v>
      </c>
      <c r="R1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713.05</v>
      </c>
    </row>
    <row r="158" spans="1:19">
      <c r="A158" s="6">
        <f>FARM_DATA[[#This Row],[Date]]</f>
        <v>45539</v>
      </c>
      <c r="B158" s="5" t="str">
        <f>FARM_DATA[[#This Row],[Farmer_Type]]</f>
        <v>Traditional</v>
      </c>
      <c r="C158" s="8">
        <f>FARM_DATA[[#This Row],[Income]]</f>
        <v>361.69</v>
      </c>
      <c r="D158" s="8">
        <f>FARM_DATA[[#This Row],[Irrigation]]</f>
        <v>54.44</v>
      </c>
      <c r="E158" s="8">
        <f>FARM_DATA[[#This Row],[Seeds]]</f>
        <v>44.96</v>
      </c>
      <c r="F158" s="8">
        <f>FARM_DATA[[#This Row],[Fertilizer]]</f>
        <v>71.67</v>
      </c>
      <c r="G158" s="8">
        <f>FARM_DATA[[#This Row],[Labor]]</f>
        <v>60.16</v>
      </c>
      <c r="H158" s="8">
        <f>FARM_DATA[[#This Row],[Household]]</f>
        <v>161.22</v>
      </c>
      <c r="I158" s="8">
        <f>FARM_DATA[[#This Row],[Medical]]</f>
        <v>29.82</v>
      </c>
      <c r="J158" s="8">
        <f>FARM_DATA[[#This Row],[Misc]]</f>
        <v>15.48</v>
      </c>
      <c r="K158" s="8">
        <f>FARM_DATA[[#This Row],[Total_Expenses]]</f>
        <v>437.76</v>
      </c>
      <c r="L158" s="30">
        <f>FARM_DATA[[#This Row],[Savings]]</f>
        <v>-76.069999999999993</v>
      </c>
      <c r="M158" s="5" t="str">
        <f>TEXT(CLEAN_TABLE[[#This Row],[Date]], "mmm")</f>
        <v>Sep</v>
      </c>
      <c r="N158" s="5">
        <f>YEAR(CLEAN_TABLE[[#This Row],[Date]])</f>
        <v>2024</v>
      </c>
      <c r="O158" s="5">
        <f>IF(CLEAN_TABLE[[#This Row],[Farmer_Type]]="Smart",0,1)</f>
        <v>1</v>
      </c>
      <c r="P158" s="7">
        <f>IFERROR(CLEAN_TABLE[[#This Row],[Savings]]/CLEAN_TABLE[[#This Row],[Income]],0)</f>
        <v>-0.21031822831706709</v>
      </c>
      <c r="Q158" s="7">
        <f>IF(CLEAN_TABLE[[#This Row],[Farmer_Type]]="Smart", 1 - (CLEAN_TABLE[[#This Row],[Irrigation]] / 70), 1 - (CLEAN_TABLE[[#This Row],[Irrigation]] / 150))</f>
        <v>0.63706666666666667</v>
      </c>
      <c r="R1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799.44</v>
      </c>
    </row>
    <row r="159" spans="1:19">
      <c r="A159" s="6">
        <f>FARM_DATA[[#This Row],[Date]]</f>
        <v>45540</v>
      </c>
      <c r="B159" s="5" t="str">
        <f>FARM_DATA[[#This Row],[Farmer_Type]]</f>
        <v>Traditional</v>
      </c>
      <c r="C159" s="8">
        <f>FARM_DATA[[#This Row],[Income]]</f>
        <v>433.63</v>
      </c>
      <c r="D159" s="8">
        <f>FARM_DATA[[#This Row],[Irrigation]]</f>
        <v>74.19</v>
      </c>
      <c r="E159" s="8">
        <f>FARM_DATA[[#This Row],[Seeds]]</f>
        <v>29.42</v>
      </c>
      <c r="F159" s="8">
        <f>FARM_DATA[[#This Row],[Fertilizer]]</f>
        <v>53.88</v>
      </c>
      <c r="G159" s="8">
        <f>FARM_DATA[[#This Row],[Labor]]</f>
        <v>123.96</v>
      </c>
      <c r="H159" s="8">
        <f>FARM_DATA[[#This Row],[Household]]</f>
        <v>152.28</v>
      </c>
      <c r="I159" s="8">
        <f>FARM_DATA[[#This Row],[Medical]]</f>
        <v>24.31</v>
      </c>
      <c r="J159" s="8">
        <f>FARM_DATA[[#This Row],[Misc]]</f>
        <v>18.95</v>
      </c>
      <c r="K159" s="8">
        <f>FARM_DATA[[#This Row],[Total_Expenses]]</f>
        <v>477</v>
      </c>
      <c r="L159" s="30">
        <f>FARM_DATA[[#This Row],[Savings]]</f>
        <v>-43.37</v>
      </c>
      <c r="M159" s="5" t="str">
        <f>TEXT(CLEAN_TABLE[[#This Row],[Date]], "mmm")</f>
        <v>Sep</v>
      </c>
      <c r="N159" s="5">
        <f>YEAR(CLEAN_TABLE[[#This Row],[Date]])</f>
        <v>2024</v>
      </c>
      <c r="O159" s="5">
        <f>IF(CLEAN_TABLE[[#This Row],[Farmer_Type]]="Smart",0,1)</f>
        <v>1</v>
      </c>
      <c r="P159" s="7">
        <f>IFERROR(CLEAN_TABLE[[#This Row],[Savings]]/CLEAN_TABLE[[#This Row],[Income]],0)</f>
        <v>-0.10001614279454835</v>
      </c>
      <c r="Q159" s="7">
        <f>IF(CLEAN_TABLE[[#This Row],[Farmer_Type]]="Smart", 1 - (CLEAN_TABLE[[#This Row],[Irrigation]] / 70), 1 - (CLEAN_TABLE[[#This Row],[Irrigation]] / 150))</f>
        <v>0.50540000000000007</v>
      </c>
      <c r="R1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910.62</v>
      </c>
    </row>
    <row r="160" spans="1:19">
      <c r="A160" s="6">
        <f>FARM_DATA[[#This Row],[Date]]</f>
        <v>45541</v>
      </c>
      <c r="B160" s="5" t="str">
        <f>FARM_DATA[[#This Row],[Farmer_Type]]</f>
        <v>Smart</v>
      </c>
      <c r="C160" s="8">
        <f>FARM_DATA[[#This Row],[Income]]</f>
        <v>983.87</v>
      </c>
      <c r="D160" s="8">
        <f>FARM_DATA[[#This Row],[Irrigation]]</f>
        <v>7.93</v>
      </c>
      <c r="E160" s="8">
        <f>FARM_DATA[[#This Row],[Seeds]]</f>
        <v>57.78</v>
      </c>
      <c r="F160" s="8">
        <f>FARM_DATA[[#This Row],[Fertilizer]]</f>
        <v>52.88</v>
      </c>
      <c r="G160" s="8">
        <f>FARM_DATA[[#This Row],[Labor]]</f>
        <v>80.290000000000006</v>
      </c>
      <c r="H160" s="8">
        <f>FARM_DATA[[#This Row],[Household]]</f>
        <v>213.26</v>
      </c>
      <c r="I160" s="8">
        <f>FARM_DATA[[#This Row],[Medical]]</f>
        <v>31.82</v>
      </c>
      <c r="J160" s="8">
        <f>FARM_DATA[[#This Row],[Misc]]</f>
        <v>49.14</v>
      </c>
      <c r="K160" s="8">
        <f>FARM_DATA[[#This Row],[Total_Expenses]]</f>
        <v>493.1</v>
      </c>
      <c r="L160" s="30">
        <f>FARM_DATA[[#This Row],[Savings]]</f>
        <v>490.77</v>
      </c>
      <c r="M160" s="5" t="str">
        <f>TEXT(CLEAN_TABLE[[#This Row],[Date]], "mmm")</f>
        <v>Sep</v>
      </c>
      <c r="N160" s="5">
        <f>YEAR(CLEAN_TABLE[[#This Row],[Date]])</f>
        <v>2024</v>
      </c>
      <c r="O160" s="5">
        <f>IF(CLEAN_TABLE[[#This Row],[Farmer_Type]]="Smart",0,1)</f>
        <v>0</v>
      </c>
      <c r="P160" s="7">
        <f>IFERROR(CLEAN_TABLE[[#This Row],[Savings]]/CLEAN_TABLE[[#This Row],[Income]],0)</f>
        <v>0.49881590047465618</v>
      </c>
      <c r="Q160" s="7">
        <f>IF(CLEAN_TABLE[[#This Row],[Farmer_Type]]="Smart", 1 - (CLEAN_TABLE[[#This Row],[Irrigation]] / 70), 1 - (CLEAN_TABLE[[#This Row],[Irrigation]] / 150))</f>
        <v>0.88671428571428568</v>
      </c>
      <c r="R1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1476.97</v>
      </c>
    </row>
    <row r="161" spans="1:19">
      <c r="A161" s="6">
        <f>FARM_DATA[[#This Row],[Date]]</f>
        <v>45542</v>
      </c>
      <c r="B161" s="5" t="str">
        <f>FARM_DATA[[#This Row],[Farmer_Type]]</f>
        <v>Traditional</v>
      </c>
      <c r="C161" s="8">
        <f>FARM_DATA[[#This Row],[Income]]</f>
        <v>295.38</v>
      </c>
      <c r="D161" s="8">
        <f>FARM_DATA[[#This Row],[Irrigation]]</f>
        <v>66.84</v>
      </c>
      <c r="E161" s="8">
        <f>FARM_DATA[[#This Row],[Seeds]]</f>
        <v>58.2</v>
      </c>
      <c r="F161" s="8">
        <f>FARM_DATA[[#This Row],[Fertilizer]]</f>
        <v>57.83</v>
      </c>
      <c r="G161" s="8">
        <f>FARM_DATA[[#This Row],[Labor]]</f>
        <v>167.98</v>
      </c>
      <c r="H161" s="8">
        <f>FARM_DATA[[#This Row],[Household]]</f>
        <v>161.80000000000001</v>
      </c>
      <c r="I161" s="8">
        <f>FARM_DATA[[#This Row],[Medical]]</f>
        <v>21.54</v>
      </c>
      <c r="J161" s="8">
        <f>FARM_DATA[[#This Row],[Misc]]</f>
        <v>26.29</v>
      </c>
      <c r="K161" s="8">
        <f>FARM_DATA[[#This Row],[Total_Expenses]]</f>
        <v>560.48</v>
      </c>
      <c r="L161" s="30">
        <f>FARM_DATA[[#This Row],[Savings]]</f>
        <v>-265.08999999999997</v>
      </c>
      <c r="M161" s="5" t="str">
        <f>TEXT(CLEAN_TABLE[[#This Row],[Date]], "mmm")</f>
        <v>Sep</v>
      </c>
      <c r="N161" s="5">
        <f>YEAR(CLEAN_TABLE[[#This Row],[Date]])</f>
        <v>2024</v>
      </c>
      <c r="O161" s="5">
        <f>IF(CLEAN_TABLE[[#This Row],[Farmer_Type]]="Smart",0,1)</f>
        <v>1</v>
      </c>
      <c r="P161" s="7">
        <f>IFERROR(CLEAN_TABLE[[#This Row],[Savings]]/CLEAN_TABLE[[#This Row],[Income]],0)</f>
        <v>-0.89745412688739923</v>
      </c>
      <c r="Q161" s="7">
        <f>IF(CLEAN_TABLE[[#This Row],[Farmer_Type]]="Smart", 1 - (CLEAN_TABLE[[#This Row],[Irrigation]] / 70), 1 - (CLEAN_TABLE[[#This Row],[Irrigation]] / 150))</f>
        <v>0.5544</v>
      </c>
      <c r="R1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855.8599999999999</v>
      </c>
    </row>
    <row r="162" spans="1:19">
      <c r="A162" s="6">
        <f>FARM_DATA[[#This Row],[Date]]</f>
        <v>45543</v>
      </c>
      <c r="B162" s="5" t="str">
        <f>FARM_DATA[[#This Row],[Farmer_Type]]</f>
        <v>Traditional</v>
      </c>
      <c r="C162" s="8">
        <f>FARM_DATA[[#This Row],[Income]]</f>
        <v>356.68</v>
      </c>
      <c r="D162" s="8">
        <f>FARM_DATA[[#This Row],[Irrigation]]</f>
        <v>68.48</v>
      </c>
      <c r="E162" s="8">
        <f>FARM_DATA[[#This Row],[Seeds]]</f>
        <v>50.62</v>
      </c>
      <c r="F162" s="8">
        <f>FARM_DATA[[#This Row],[Fertilizer]]</f>
        <v>74.13</v>
      </c>
      <c r="G162" s="8">
        <f>FARM_DATA[[#This Row],[Labor]]</f>
        <v>90.35</v>
      </c>
      <c r="H162" s="8">
        <f>FARM_DATA[[#This Row],[Household]]</f>
        <v>110.06</v>
      </c>
      <c r="I162" s="8">
        <f>FARM_DATA[[#This Row],[Medical]]</f>
        <v>5.31</v>
      </c>
      <c r="J162" s="8">
        <f>FARM_DATA[[#This Row],[Misc]]</f>
        <v>36.1</v>
      </c>
      <c r="K162" s="8">
        <f>FARM_DATA[[#This Row],[Total_Expenses]]</f>
        <v>435.05</v>
      </c>
      <c r="L162" s="30">
        <f>FARM_DATA[[#This Row],[Savings]]</f>
        <v>-78.37</v>
      </c>
      <c r="M162" s="5" t="str">
        <f>TEXT(CLEAN_TABLE[[#This Row],[Date]], "mmm")</f>
        <v>Sep</v>
      </c>
      <c r="N162" s="5">
        <f>YEAR(CLEAN_TABLE[[#This Row],[Date]])</f>
        <v>2024</v>
      </c>
      <c r="O162" s="5">
        <f>IF(CLEAN_TABLE[[#This Row],[Farmer_Type]]="Smart",0,1)</f>
        <v>1</v>
      </c>
      <c r="P162" s="7">
        <f>IFERROR(CLEAN_TABLE[[#This Row],[Savings]]/CLEAN_TABLE[[#This Row],[Income]],0)</f>
        <v>-0.21972075810250086</v>
      </c>
      <c r="Q162" s="7">
        <f>IF(CLEAN_TABLE[[#This Row],[Farmer_Type]]="Smart", 1 - (CLEAN_TABLE[[#This Row],[Irrigation]] / 70), 1 - (CLEAN_TABLE[[#This Row],[Irrigation]] / 150))</f>
        <v>0.54346666666666665</v>
      </c>
      <c r="R1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791.73000000000013</v>
      </c>
    </row>
    <row r="163" spans="1:19">
      <c r="A163" s="6">
        <f>FARM_DATA[[#This Row],[Date]]</f>
        <v>45544</v>
      </c>
      <c r="B163" s="5" t="str">
        <f>FARM_DATA[[#This Row],[Farmer_Type]]</f>
        <v>Traditional</v>
      </c>
      <c r="C163" s="8">
        <f>FARM_DATA[[#This Row],[Income]]</f>
        <v>294.83</v>
      </c>
      <c r="D163" s="8">
        <f>FARM_DATA[[#This Row],[Irrigation]]</f>
        <v>48.47</v>
      </c>
      <c r="E163" s="8">
        <f>FARM_DATA[[#This Row],[Seeds]]</f>
        <v>45.83</v>
      </c>
      <c r="F163" s="8">
        <f>FARM_DATA[[#This Row],[Fertilizer]]</f>
        <v>104.86</v>
      </c>
      <c r="G163" s="8">
        <f>FARM_DATA[[#This Row],[Labor]]</f>
        <v>109.85</v>
      </c>
      <c r="H163" s="8">
        <f>FARM_DATA[[#This Row],[Household]]</f>
        <v>175.15</v>
      </c>
      <c r="I163" s="8">
        <f>FARM_DATA[[#This Row],[Medical]]</f>
        <v>20.65</v>
      </c>
      <c r="J163" s="8">
        <f>FARM_DATA[[#This Row],[Misc]]</f>
        <v>28.81</v>
      </c>
      <c r="K163" s="8">
        <f>FARM_DATA[[#This Row],[Total_Expenses]]</f>
        <v>533.63</v>
      </c>
      <c r="L163" s="30">
        <f>FARM_DATA[[#This Row],[Savings]]</f>
        <v>-238.8</v>
      </c>
      <c r="M163" s="5" t="str">
        <f>TEXT(CLEAN_TABLE[[#This Row],[Date]], "mmm")</f>
        <v>Sep</v>
      </c>
      <c r="N163" s="5">
        <f>YEAR(CLEAN_TABLE[[#This Row],[Date]])</f>
        <v>2024</v>
      </c>
      <c r="O163" s="5">
        <f>IF(CLEAN_TABLE[[#This Row],[Farmer_Type]]="Smart",0,1)</f>
        <v>1</v>
      </c>
      <c r="P163" s="7">
        <f>IFERROR(CLEAN_TABLE[[#This Row],[Savings]]/CLEAN_TABLE[[#This Row],[Income]],0)</f>
        <v>-0.80995828104331313</v>
      </c>
      <c r="Q163" s="7">
        <f>IF(CLEAN_TABLE[[#This Row],[Farmer_Type]]="Smart", 1 - (CLEAN_TABLE[[#This Row],[Irrigation]] / 70), 1 - (CLEAN_TABLE[[#This Row],[Irrigation]] / 150))</f>
        <v>0.67686666666666673</v>
      </c>
      <c r="R1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828.44999999999982</v>
      </c>
    </row>
    <row r="164" spans="1:19">
      <c r="A164" s="6">
        <f>FARM_DATA[[#This Row],[Date]]</f>
        <v>45545</v>
      </c>
      <c r="B164" s="5" t="str">
        <f>FARM_DATA[[#This Row],[Farmer_Type]]</f>
        <v>Smart</v>
      </c>
      <c r="C164" s="8">
        <f>FARM_DATA[[#This Row],[Income]]</f>
        <v>1133.82</v>
      </c>
      <c r="D164" s="8">
        <f>FARM_DATA[[#This Row],[Irrigation]]</f>
        <v>13.55</v>
      </c>
      <c r="E164" s="8">
        <f>FARM_DATA[[#This Row],[Seeds]]</f>
        <v>65.349999999999994</v>
      </c>
      <c r="F164" s="8">
        <f>FARM_DATA[[#This Row],[Fertilizer]]</f>
        <v>89.65</v>
      </c>
      <c r="G164" s="8">
        <f>FARM_DATA[[#This Row],[Labor]]</f>
        <v>81.64</v>
      </c>
      <c r="H164" s="8">
        <f>FARM_DATA[[#This Row],[Household]]</f>
        <v>204.72</v>
      </c>
      <c r="I164" s="8">
        <f>FARM_DATA[[#This Row],[Medical]]</f>
        <v>20.43</v>
      </c>
      <c r="J164" s="8">
        <f>FARM_DATA[[#This Row],[Misc]]</f>
        <v>28.66</v>
      </c>
      <c r="K164" s="8">
        <f>FARM_DATA[[#This Row],[Total_Expenses]]</f>
        <v>504</v>
      </c>
      <c r="L164" s="30">
        <f>FARM_DATA[[#This Row],[Savings]]</f>
        <v>629.82000000000005</v>
      </c>
      <c r="M164" s="5" t="str">
        <f>TEXT(CLEAN_TABLE[[#This Row],[Date]], "mmm")</f>
        <v>Sep</v>
      </c>
      <c r="N164" s="5">
        <f>YEAR(CLEAN_TABLE[[#This Row],[Date]])</f>
        <v>2024</v>
      </c>
      <c r="O164" s="5">
        <f>IF(CLEAN_TABLE[[#This Row],[Farmer_Type]]="Smart",0,1)</f>
        <v>0</v>
      </c>
      <c r="P164" s="7">
        <f>IFERROR(CLEAN_TABLE[[#This Row],[Savings]]/CLEAN_TABLE[[#This Row],[Income]],0)</f>
        <v>0.55548499761866965</v>
      </c>
      <c r="Q164" s="7">
        <f>IF(CLEAN_TABLE[[#This Row],[Farmer_Type]]="Smart", 1 - (CLEAN_TABLE[[#This Row],[Irrigation]] / 70), 1 - (CLEAN_TABLE[[#This Row],[Irrigation]] / 150))</f>
        <v>0.80642857142857138</v>
      </c>
      <c r="R1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1637.8200000000002</v>
      </c>
    </row>
    <row r="165" spans="1:19">
      <c r="A165" s="6">
        <f>FARM_DATA[[#This Row],[Date]]</f>
        <v>45546</v>
      </c>
      <c r="B165" s="5" t="str">
        <f>FARM_DATA[[#This Row],[Farmer_Type]]</f>
        <v>Traditional</v>
      </c>
      <c r="C165" s="8">
        <f>FARM_DATA[[#This Row],[Income]]</f>
        <v>376.83</v>
      </c>
      <c r="D165" s="8">
        <f>FARM_DATA[[#This Row],[Irrigation]]</f>
        <v>61.02</v>
      </c>
      <c r="E165" s="8">
        <f>FARM_DATA[[#This Row],[Seeds]]</f>
        <v>40.42</v>
      </c>
      <c r="F165" s="8">
        <f>FARM_DATA[[#This Row],[Fertilizer]]</f>
        <v>54.82</v>
      </c>
      <c r="G165" s="8">
        <f>FARM_DATA[[#This Row],[Labor]]</f>
        <v>137.15</v>
      </c>
      <c r="H165" s="8">
        <f>FARM_DATA[[#This Row],[Household]]</f>
        <v>164.24</v>
      </c>
      <c r="I165" s="8">
        <f>FARM_DATA[[#This Row],[Medical]]</f>
        <v>19.8</v>
      </c>
      <c r="J165" s="8">
        <f>FARM_DATA[[#This Row],[Misc]]</f>
        <v>39.81</v>
      </c>
      <c r="K165" s="8">
        <f>FARM_DATA[[#This Row],[Total_Expenses]]</f>
        <v>517.26</v>
      </c>
      <c r="L165" s="30">
        <f>FARM_DATA[[#This Row],[Savings]]</f>
        <v>-140.43</v>
      </c>
      <c r="M165" s="5" t="str">
        <f>TEXT(CLEAN_TABLE[[#This Row],[Date]], "mmm")</f>
        <v>Sep</v>
      </c>
      <c r="N165" s="5">
        <f>YEAR(CLEAN_TABLE[[#This Row],[Date]])</f>
        <v>2024</v>
      </c>
      <c r="O165" s="5">
        <f>IF(CLEAN_TABLE[[#This Row],[Farmer_Type]]="Smart",0,1)</f>
        <v>1</v>
      </c>
      <c r="P165" s="7">
        <f>IFERROR(CLEAN_TABLE[[#This Row],[Savings]]/CLEAN_TABLE[[#This Row],[Income]],0)</f>
        <v>-0.37266141230793731</v>
      </c>
      <c r="Q165" s="7">
        <f>IF(CLEAN_TABLE[[#This Row],[Farmer_Type]]="Smart", 1 - (CLEAN_TABLE[[#This Row],[Irrigation]] / 70), 1 - (CLEAN_TABLE[[#This Row],[Irrigation]] / 150))</f>
        <v>0.59319999999999995</v>
      </c>
      <c r="R1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894.08999999999992</v>
      </c>
    </row>
    <row r="166" spans="1:19">
      <c r="A166" s="6">
        <f>FARM_DATA[[#This Row],[Date]]</f>
        <v>45547</v>
      </c>
      <c r="B166" s="5" t="str">
        <f>FARM_DATA[[#This Row],[Farmer_Type]]</f>
        <v>Traditional</v>
      </c>
      <c r="C166" s="8">
        <f>FARM_DATA[[#This Row],[Income]]</f>
        <v>419.51</v>
      </c>
      <c r="D166" s="8">
        <f>FARM_DATA[[#This Row],[Irrigation]]</f>
        <v>75.58</v>
      </c>
      <c r="E166" s="8">
        <f>FARM_DATA[[#This Row],[Seeds]]</f>
        <v>40.159999999999997</v>
      </c>
      <c r="F166" s="8">
        <f>FARM_DATA[[#This Row],[Fertilizer]]</f>
        <v>28.76</v>
      </c>
      <c r="G166" s="8">
        <f>FARM_DATA[[#This Row],[Labor]]</f>
        <v>83.37</v>
      </c>
      <c r="H166" s="8">
        <f>FARM_DATA[[#This Row],[Household]]</f>
        <v>140.84</v>
      </c>
      <c r="I166" s="8">
        <f>FARM_DATA[[#This Row],[Medical]]</f>
        <v>15.12</v>
      </c>
      <c r="J166" s="8">
        <f>FARM_DATA[[#This Row],[Misc]]</f>
        <v>27.76</v>
      </c>
      <c r="K166" s="8">
        <f>FARM_DATA[[#This Row],[Total_Expenses]]</f>
        <v>411.59</v>
      </c>
      <c r="L166" s="30">
        <f>FARM_DATA[[#This Row],[Savings]]</f>
        <v>7.92</v>
      </c>
      <c r="M166" s="5" t="str">
        <f>TEXT(CLEAN_TABLE[[#This Row],[Date]], "mmm")</f>
        <v>Sep</v>
      </c>
      <c r="N166" s="5">
        <f>YEAR(CLEAN_TABLE[[#This Row],[Date]])</f>
        <v>2024</v>
      </c>
      <c r="O166" s="5">
        <f>IF(CLEAN_TABLE[[#This Row],[Farmer_Type]]="Smart",0,1)</f>
        <v>1</v>
      </c>
      <c r="P166" s="7">
        <f>IFERROR(CLEAN_TABLE[[#This Row],[Savings]]/CLEAN_TABLE[[#This Row],[Income]],0)</f>
        <v>1.8879168553788944E-2</v>
      </c>
      <c r="Q166" s="7">
        <f>IF(CLEAN_TABLE[[#This Row],[Farmer_Type]]="Smart", 1 - (CLEAN_TABLE[[#This Row],[Irrigation]] / 70), 1 - (CLEAN_TABLE[[#This Row],[Irrigation]] / 150))</f>
        <v>0.49613333333333332</v>
      </c>
      <c r="R1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831.1</v>
      </c>
    </row>
    <row r="167" spans="1:19">
      <c r="A167" s="6">
        <f>FARM_DATA[[#This Row],[Date]]</f>
        <v>45548</v>
      </c>
      <c r="B167" s="5" t="str">
        <f>FARM_DATA[[#This Row],[Farmer_Type]]</f>
        <v>Smart</v>
      </c>
      <c r="C167" s="8">
        <f>FARM_DATA[[#This Row],[Income]]</f>
        <v>961.33</v>
      </c>
      <c r="D167" s="8">
        <f>FARM_DATA[[#This Row],[Irrigation]]</f>
        <v>17.649999999999999</v>
      </c>
      <c r="E167" s="8">
        <f>FARM_DATA[[#This Row],[Seeds]]</f>
        <v>58.59</v>
      </c>
      <c r="F167" s="8">
        <f>FARM_DATA[[#This Row],[Fertilizer]]</f>
        <v>94.6</v>
      </c>
      <c r="G167" s="8">
        <f>FARM_DATA[[#This Row],[Labor]]</f>
        <v>96.29</v>
      </c>
      <c r="H167" s="8">
        <f>FARM_DATA[[#This Row],[Household]]</f>
        <v>100.86</v>
      </c>
      <c r="I167" s="8">
        <f>FARM_DATA[[#This Row],[Medical]]</f>
        <v>13.55</v>
      </c>
      <c r="J167" s="8">
        <f>FARM_DATA[[#This Row],[Misc]]</f>
        <v>37.840000000000003</v>
      </c>
      <c r="K167" s="8">
        <f>FARM_DATA[[#This Row],[Total_Expenses]]</f>
        <v>419.37</v>
      </c>
      <c r="L167" s="30">
        <f>FARM_DATA[[#This Row],[Savings]]</f>
        <v>541.96</v>
      </c>
      <c r="M167" s="5" t="str">
        <f>TEXT(CLEAN_TABLE[[#This Row],[Date]], "mmm")</f>
        <v>Sep</v>
      </c>
      <c r="N167" s="5">
        <f>YEAR(CLEAN_TABLE[[#This Row],[Date]])</f>
        <v>2024</v>
      </c>
      <c r="O167" s="5">
        <f>IF(CLEAN_TABLE[[#This Row],[Farmer_Type]]="Smart",0,1)</f>
        <v>0</v>
      </c>
      <c r="P167" s="7">
        <f>IFERROR(CLEAN_TABLE[[#This Row],[Savings]]/CLEAN_TABLE[[#This Row],[Income]],0)</f>
        <v>0.56376062330313215</v>
      </c>
      <c r="Q167" s="7">
        <f>IF(CLEAN_TABLE[[#This Row],[Farmer_Type]]="Smart", 1 - (CLEAN_TABLE[[#This Row],[Irrigation]] / 70), 1 - (CLEAN_TABLE[[#This Row],[Irrigation]] / 150))</f>
        <v>0.74785714285714289</v>
      </c>
      <c r="R1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1380.7099999999996</v>
      </c>
    </row>
    <row r="168" spans="1:19">
      <c r="A168" s="6">
        <f>FARM_DATA[[#This Row],[Date]]</f>
        <v>45549</v>
      </c>
      <c r="B168" s="5" t="str">
        <f>FARM_DATA[[#This Row],[Farmer_Type]]</f>
        <v>Smart</v>
      </c>
      <c r="C168" s="8">
        <f>FARM_DATA[[#This Row],[Income]]</f>
        <v>708.06</v>
      </c>
      <c r="D168" s="8">
        <f>FARM_DATA[[#This Row],[Irrigation]]</f>
        <v>18</v>
      </c>
      <c r="E168" s="8">
        <f>FARM_DATA[[#This Row],[Seeds]]</f>
        <v>90.62</v>
      </c>
      <c r="F168" s="8">
        <f>FARM_DATA[[#This Row],[Fertilizer]]</f>
        <v>116.56</v>
      </c>
      <c r="G168" s="8">
        <f>FARM_DATA[[#This Row],[Labor]]</f>
        <v>90.73</v>
      </c>
      <c r="H168" s="8">
        <f>FARM_DATA[[#This Row],[Household]]</f>
        <v>222.18</v>
      </c>
      <c r="I168" s="8">
        <f>FARM_DATA[[#This Row],[Medical]]</f>
        <v>23.34</v>
      </c>
      <c r="J168" s="8">
        <f>FARM_DATA[[#This Row],[Misc]]</f>
        <v>34.94</v>
      </c>
      <c r="K168" s="8">
        <f>FARM_DATA[[#This Row],[Total_Expenses]]</f>
        <v>596.37</v>
      </c>
      <c r="L168" s="30">
        <f>FARM_DATA[[#This Row],[Savings]]</f>
        <v>111.7</v>
      </c>
      <c r="M168" s="5" t="str">
        <f>TEXT(CLEAN_TABLE[[#This Row],[Date]], "mmm")</f>
        <v>Sep</v>
      </c>
      <c r="N168" s="5">
        <f>YEAR(CLEAN_TABLE[[#This Row],[Date]])</f>
        <v>2024</v>
      </c>
      <c r="O168" s="5">
        <f>IF(CLEAN_TABLE[[#This Row],[Farmer_Type]]="Smart",0,1)</f>
        <v>0</v>
      </c>
      <c r="P168" s="7">
        <f>IFERROR(CLEAN_TABLE[[#This Row],[Savings]]/CLEAN_TABLE[[#This Row],[Income]],0)</f>
        <v>0.15775499251475866</v>
      </c>
      <c r="Q168" s="7">
        <f>IF(CLEAN_TABLE[[#This Row],[Farmer_Type]]="Smart", 1 - (CLEAN_TABLE[[#This Row],[Irrigation]] / 70), 1 - (CLEAN_TABLE[[#This Row],[Irrigation]] / 150))</f>
        <v>0.74285714285714288</v>
      </c>
      <c r="R1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1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1304.43</v>
      </c>
    </row>
    <row r="169" spans="1:19">
      <c r="A169" s="6">
        <f>FARM_DATA[[#This Row],[Date]]</f>
        <v>45550</v>
      </c>
      <c r="B169" s="5" t="str">
        <f>FARM_DATA[[#This Row],[Farmer_Type]]</f>
        <v>Traditional</v>
      </c>
      <c r="C169" s="8">
        <f>FARM_DATA[[#This Row],[Income]]</f>
        <v>319.33</v>
      </c>
      <c r="D169" s="8">
        <f>FARM_DATA[[#This Row],[Irrigation]]</f>
        <v>66.98</v>
      </c>
      <c r="E169" s="8">
        <f>FARM_DATA[[#This Row],[Seeds]]</f>
        <v>34.18</v>
      </c>
      <c r="F169" s="8">
        <f>FARM_DATA[[#This Row],[Fertilizer]]</f>
        <v>58.41</v>
      </c>
      <c r="G169" s="8">
        <f>FARM_DATA[[#This Row],[Labor]]</f>
        <v>114.01</v>
      </c>
      <c r="H169" s="8">
        <f>FARM_DATA[[#This Row],[Household]]</f>
        <v>150.09</v>
      </c>
      <c r="I169" s="8">
        <f>FARM_DATA[[#This Row],[Medical]]</f>
        <v>23.5</v>
      </c>
      <c r="J169" s="8">
        <f>FARM_DATA[[#This Row],[Misc]]</f>
        <v>44.29</v>
      </c>
      <c r="K169" s="8">
        <f>FARM_DATA[[#This Row],[Total_Expenses]]</f>
        <v>491.45</v>
      </c>
      <c r="L169" s="30">
        <f>FARM_DATA[[#This Row],[Savings]]</f>
        <v>-172.12</v>
      </c>
      <c r="M169" s="5" t="str">
        <f>TEXT(CLEAN_TABLE[[#This Row],[Date]], "mmm")</f>
        <v>Sep</v>
      </c>
      <c r="N169" s="5">
        <f>YEAR(CLEAN_TABLE[[#This Row],[Date]])</f>
        <v>2024</v>
      </c>
      <c r="O169" s="5">
        <f>IF(CLEAN_TABLE[[#This Row],[Farmer_Type]]="Smart",0,1)</f>
        <v>1</v>
      </c>
      <c r="P169" s="7">
        <f>IFERROR(CLEAN_TABLE[[#This Row],[Savings]]/CLEAN_TABLE[[#This Row],[Income]],0)</f>
        <v>-0.53900353865906747</v>
      </c>
      <c r="Q169" s="7">
        <f>IF(CLEAN_TABLE[[#This Row],[Farmer_Type]]="Smart", 1 - (CLEAN_TABLE[[#This Row],[Irrigation]] / 70), 1 - (CLEAN_TABLE[[#This Row],[Irrigation]] / 150))</f>
        <v>0.55346666666666666</v>
      </c>
      <c r="R1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810.79</v>
      </c>
    </row>
    <row r="170" spans="1:19">
      <c r="A170" s="6">
        <f>FARM_DATA[[#This Row],[Date]]</f>
        <v>45551</v>
      </c>
      <c r="B170" s="5" t="str">
        <f>FARM_DATA[[#This Row],[Farmer_Type]]</f>
        <v>Smart</v>
      </c>
      <c r="C170" s="8">
        <f>FARM_DATA[[#This Row],[Income]]</f>
        <v>1139.9100000000001</v>
      </c>
      <c r="D170" s="8">
        <f>FARM_DATA[[#This Row],[Irrigation]]</f>
        <v>7.58</v>
      </c>
      <c r="E170" s="8">
        <f>FARM_DATA[[#This Row],[Seeds]]</f>
        <v>8.92</v>
      </c>
      <c r="F170" s="8">
        <f>FARM_DATA[[#This Row],[Fertilizer]]</f>
        <v>108.03</v>
      </c>
      <c r="G170" s="8">
        <f>FARM_DATA[[#This Row],[Labor]]</f>
        <v>67.66</v>
      </c>
      <c r="H170" s="8">
        <f>FARM_DATA[[#This Row],[Household]]</f>
        <v>162.13</v>
      </c>
      <c r="I170" s="8">
        <f>FARM_DATA[[#This Row],[Medical]]</f>
        <v>11.47</v>
      </c>
      <c r="J170" s="8">
        <f>FARM_DATA[[#This Row],[Misc]]</f>
        <v>12.97</v>
      </c>
      <c r="K170" s="8">
        <f>FARM_DATA[[#This Row],[Total_Expenses]]</f>
        <v>378.76</v>
      </c>
      <c r="L170" s="30">
        <f>FARM_DATA[[#This Row],[Savings]]</f>
        <v>761.15</v>
      </c>
      <c r="M170" s="5" t="str">
        <f>TEXT(CLEAN_TABLE[[#This Row],[Date]], "mmm")</f>
        <v>Sep</v>
      </c>
      <c r="N170" s="5">
        <f>YEAR(CLEAN_TABLE[[#This Row],[Date]])</f>
        <v>2024</v>
      </c>
      <c r="O170" s="5">
        <f>IF(CLEAN_TABLE[[#This Row],[Farmer_Type]]="Smart",0,1)</f>
        <v>0</v>
      </c>
      <c r="P170" s="7">
        <f>IFERROR(CLEAN_TABLE[[#This Row],[Savings]]/CLEAN_TABLE[[#This Row],[Income]],0)</f>
        <v>0.66772815397706831</v>
      </c>
      <c r="Q170" s="7">
        <f>IF(CLEAN_TABLE[[#This Row],[Farmer_Type]]="Smart", 1 - (CLEAN_TABLE[[#This Row],[Irrigation]] / 70), 1 - (CLEAN_TABLE[[#This Row],[Irrigation]] / 150))</f>
        <v>0.89171428571428568</v>
      </c>
      <c r="R1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1518.67</v>
      </c>
    </row>
    <row r="171" spans="1:19">
      <c r="A171" s="6">
        <f>FARM_DATA[[#This Row],[Date]]</f>
        <v>45552</v>
      </c>
      <c r="B171" s="5" t="str">
        <f>FARM_DATA[[#This Row],[Farmer_Type]]</f>
        <v>Traditional</v>
      </c>
      <c r="C171" s="8">
        <f>FARM_DATA[[#This Row],[Income]]</f>
        <v>377.07</v>
      </c>
      <c r="D171" s="8">
        <f>FARM_DATA[[#This Row],[Irrigation]]</f>
        <v>77.59</v>
      </c>
      <c r="E171" s="8">
        <f>FARM_DATA[[#This Row],[Seeds]]</f>
        <v>31.35</v>
      </c>
      <c r="F171" s="8">
        <f>FARM_DATA[[#This Row],[Fertilizer]]</f>
        <v>3.18</v>
      </c>
      <c r="G171" s="8">
        <f>FARM_DATA[[#This Row],[Labor]]</f>
        <v>96.34</v>
      </c>
      <c r="H171" s="8">
        <f>FARM_DATA[[#This Row],[Household]]</f>
        <v>161.75</v>
      </c>
      <c r="I171" s="8">
        <f>FARM_DATA[[#This Row],[Medical]]</f>
        <v>8.17</v>
      </c>
      <c r="J171" s="8">
        <f>FARM_DATA[[#This Row],[Misc]]</f>
        <v>32.200000000000003</v>
      </c>
      <c r="K171" s="8">
        <f>FARM_DATA[[#This Row],[Total_Expenses]]</f>
        <v>410.59</v>
      </c>
      <c r="L171" s="30">
        <f>FARM_DATA[[#This Row],[Savings]]</f>
        <v>-33.520000000000003</v>
      </c>
      <c r="M171" s="5" t="str">
        <f>TEXT(CLEAN_TABLE[[#This Row],[Date]], "mmm")</f>
        <v>Sep</v>
      </c>
      <c r="N171" s="5">
        <f>YEAR(CLEAN_TABLE[[#This Row],[Date]])</f>
        <v>2024</v>
      </c>
      <c r="O171" s="5">
        <f>IF(CLEAN_TABLE[[#This Row],[Farmer_Type]]="Smart",0,1)</f>
        <v>1</v>
      </c>
      <c r="P171" s="7">
        <f>IFERROR(CLEAN_TABLE[[#This Row],[Savings]]/CLEAN_TABLE[[#This Row],[Income]],0)</f>
        <v>-8.8895960962155574E-2</v>
      </c>
      <c r="Q171" s="7">
        <f>IF(CLEAN_TABLE[[#This Row],[Farmer_Type]]="Smart", 1 - (CLEAN_TABLE[[#This Row],[Irrigation]] / 70), 1 - (CLEAN_TABLE[[#This Row],[Irrigation]] / 150))</f>
        <v>0.48273333333333335</v>
      </c>
      <c r="R1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787.65</v>
      </c>
    </row>
    <row r="172" spans="1:19">
      <c r="A172" s="6">
        <f>FARM_DATA[[#This Row],[Date]]</f>
        <v>45553</v>
      </c>
      <c r="B172" s="5" t="str">
        <f>FARM_DATA[[#This Row],[Farmer_Type]]</f>
        <v>Traditional</v>
      </c>
      <c r="C172" s="8">
        <f>FARM_DATA[[#This Row],[Income]]</f>
        <v>349.23</v>
      </c>
      <c r="D172" s="8">
        <f>FARM_DATA[[#This Row],[Irrigation]]</f>
        <v>75.790000000000006</v>
      </c>
      <c r="E172" s="8">
        <f>FARM_DATA[[#This Row],[Seeds]]</f>
        <v>41.79</v>
      </c>
      <c r="F172" s="8">
        <f>FARM_DATA[[#This Row],[Fertilizer]]</f>
        <v>35.54</v>
      </c>
      <c r="G172" s="8">
        <f>FARM_DATA[[#This Row],[Labor]]</f>
        <v>139.91</v>
      </c>
      <c r="H172" s="8">
        <f>FARM_DATA[[#This Row],[Household]]</f>
        <v>145.24</v>
      </c>
      <c r="I172" s="8">
        <f>FARM_DATA[[#This Row],[Medical]]</f>
        <v>19.78</v>
      </c>
      <c r="J172" s="8">
        <f>FARM_DATA[[#This Row],[Misc]]</f>
        <v>18.8</v>
      </c>
      <c r="K172" s="8">
        <f>FARM_DATA[[#This Row],[Total_Expenses]]</f>
        <v>476.87</v>
      </c>
      <c r="L172" s="30">
        <f>FARM_DATA[[#This Row],[Savings]]</f>
        <v>-127.63</v>
      </c>
      <c r="M172" s="5" t="str">
        <f>TEXT(CLEAN_TABLE[[#This Row],[Date]], "mmm")</f>
        <v>Sep</v>
      </c>
      <c r="N172" s="5">
        <f>YEAR(CLEAN_TABLE[[#This Row],[Date]])</f>
        <v>2024</v>
      </c>
      <c r="O172" s="5">
        <f>IF(CLEAN_TABLE[[#This Row],[Farmer_Type]]="Smart",0,1)</f>
        <v>1</v>
      </c>
      <c r="P172" s="7">
        <f>IFERROR(CLEAN_TABLE[[#This Row],[Savings]]/CLEAN_TABLE[[#This Row],[Income]],0)</f>
        <v>-0.36546115740343038</v>
      </c>
      <c r="Q172" s="7">
        <f>IF(CLEAN_TABLE[[#This Row],[Farmer_Type]]="Smart", 1 - (CLEAN_TABLE[[#This Row],[Irrigation]] / 70), 1 - (CLEAN_TABLE[[#This Row],[Irrigation]] / 150))</f>
        <v>0.49473333333333325</v>
      </c>
      <c r="R1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826.08</v>
      </c>
    </row>
    <row r="173" spans="1:19">
      <c r="A173" s="6">
        <f>FARM_DATA[[#This Row],[Date]]</f>
        <v>45554</v>
      </c>
      <c r="B173" s="5" t="str">
        <f>FARM_DATA[[#This Row],[Farmer_Type]]</f>
        <v>Smart</v>
      </c>
      <c r="C173" s="8">
        <f>FARM_DATA[[#This Row],[Income]]</f>
        <v>861.34</v>
      </c>
      <c r="D173" s="8">
        <f>FARM_DATA[[#This Row],[Irrigation]]</f>
        <v>10.58</v>
      </c>
      <c r="E173" s="8">
        <f>FARM_DATA[[#This Row],[Seeds]]</f>
        <v>56.54</v>
      </c>
      <c r="F173" s="8">
        <f>FARM_DATA[[#This Row],[Fertilizer]]</f>
        <v>131.35</v>
      </c>
      <c r="G173" s="8">
        <f>FARM_DATA[[#This Row],[Labor]]</f>
        <v>67.56</v>
      </c>
      <c r="H173" s="8">
        <f>FARM_DATA[[#This Row],[Household]]</f>
        <v>113.53</v>
      </c>
      <c r="I173" s="8">
        <f>FARM_DATA[[#This Row],[Medical]]</f>
        <v>35.24</v>
      </c>
      <c r="J173" s="8">
        <f>FARM_DATA[[#This Row],[Misc]]</f>
        <v>36.86</v>
      </c>
      <c r="K173" s="8">
        <f>FARM_DATA[[#This Row],[Total_Expenses]]</f>
        <v>451.66</v>
      </c>
      <c r="L173" s="30">
        <f>FARM_DATA[[#This Row],[Savings]]</f>
        <v>409.69</v>
      </c>
      <c r="M173" s="5" t="str">
        <f>TEXT(CLEAN_TABLE[[#This Row],[Date]], "mmm")</f>
        <v>Sep</v>
      </c>
      <c r="N173" s="5">
        <f>YEAR(CLEAN_TABLE[[#This Row],[Date]])</f>
        <v>2024</v>
      </c>
      <c r="O173" s="5">
        <f>IF(CLEAN_TABLE[[#This Row],[Farmer_Type]]="Smart",0,1)</f>
        <v>0</v>
      </c>
      <c r="P173" s="7">
        <f>IFERROR(CLEAN_TABLE[[#This Row],[Savings]]/CLEAN_TABLE[[#This Row],[Income]],0)</f>
        <v>0.47564260338542269</v>
      </c>
      <c r="Q173" s="7">
        <f>IF(CLEAN_TABLE[[#This Row],[Farmer_Type]]="Smart", 1 - (CLEAN_TABLE[[#This Row],[Irrigation]] / 70), 1 - (CLEAN_TABLE[[#This Row],[Irrigation]] / 150))</f>
        <v>0.84885714285714287</v>
      </c>
      <c r="R1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1312.9999999999998</v>
      </c>
    </row>
    <row r="174" spans="1:19">
      <c r="A174" s="6">
        <f>FARM_DATA[[#This Row],[Date]]</f>
        <v>45555</v>
      </c>
      <c r="B174" s="5" t="str">
        <f>FARM_DATA[[#This Row],[Farmer_Type]]</f>
        <v>Smart</v>
      </c>
      <c r="C174" s="8">
        <f>FARM_DATA[[#This Row],[Income]]</f>
        <v>816.19</v>
      </c>
      <c r="D174" s="8">
        <f>FARM_DATA[[#This Row],[Irrigation]]</f>
        <v>20.2</v>
      </c>
      <c r="E174" s="8">
        <f>FARM_DATA[[#This Row],[Seeds]]</f>
        <v>47.89</v>
      </c>
      <c r="F174" s="8">
        <f>FARM_DATA[[#This Row],[Fertilizer]]</f>
        <v>134.78</v>
      </c>
      <c r="G174" s="8">
        <f>FARM_DATA[[#This Row],[Labor]]</f>
        <v>108.56</v>
      </c>
      <c r="H174" s="8">
        <f>FARM_DATA[[#This Row],[Household]]</f>
        <v>152.91999999999999</v>
      </c>
      <c r="I174" s="8">
        <f>FARM_DATA[[#This Row],[Medical]]</f>
        <v>41.42</v>
      </c>
      <c r="J174" s="8">
        <f>FARM_DATA[[#This Row],[Misc]]</f>
        <v>30.91</v>
      </c>
      <c r="K174" s="8">
        <f>FARM_DATA[[#This Row],[Total_Expenses]]</f>
        <v>536.67999999999995</v>
      </c>
      <c r="L174" s="30">
        <f>FARM_DATA[[#This Row],[Savings]]</f>
        <v>279.51</v>
      </c>
      <c r="M174" s="5" t="str">
        <f>TEXT(CLEAN_TABLE[[#This Row],[Date]], "mmm")</f>
        <v>Sep</v>
      </c>
      <c r="N174" s="5">
        <f>YEAR(CLEAN_TABLE[[#This Row],[Date]])</f>
        <v>2024</v>
      </c>
      <c r="O174" s="5">
        <f>IF(CLEAN_TABLE[[#This Row],[Farmer_Type]]="Smart",0,1)</f>
        <v>0</v>
      </c>
      <c r="P174" s="7">
        <f>IFERROR(CLEAN_TABLE[[#This Row],[Savings]]/CLEAN_TABLE[[#This Row],[Income]],0)</f>
        <v>0.34245702593758803</v>
      </c>
      <c r="Q174" s="7">
        <f>IF(CLEAN_TABLE[[#This Row],[Farmer_Type]]="Smart", 1 - (CLEAN_TABLE[[#This Row],[Irrigation]] / 70), 1 - (CLEAN_TABLE[[#This Row],[Irrigation]] / 150))</f>
        <v>0.71142857142857152</v>
      </c>
      <c r="R1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1352.8700000000003</v>
      </c>
    </row>
    <row r="175" spans="1:19">
      <c r="A175" s="6">
        <f>FARM_DATA[[#This Row],[Date]]</f>
        <v>45556</v>
      </c>
      <c r="B175" s="5" t="str">
        <f>FARM_DATA[[#This Row],[Farmer_Type]]</f>
        <v>Traditional</v>
      </c>
      <c r="C175" s="8">
        <f>FARM_DATA[[#This Row],[Income]]</f>
        <v>387.1</v>
      </c>
      <c r="D175" s="8">
        <f>FARM_DATA[[#This Row],[Irrigation]]</f>
        <v>72.989999999999995</v>
      </c>
      <c r="E175" s="8">
        <f>FARM_DATA[[#This Row],[Seeds]]</f>
        <v>59.53</v>
      </c>
      <c r="F175" s="8">
        <f>FARM_DATA[[#This Row],[Fertilizer]]</f>
        <v>86.23</v>
      </c>
      <c r="G175" s="8">
        <f>FARM_DATA[[#This Row],[Labor]]</f>
        <v>110.8</v>
      </c>
      <c r="H175" s="8">
        <f>FARM_DATA[[#This Row],[Household]]</f>
        <v>127.4</v>
      </c>
      <c r="I175" s="8">
        <f>FARM_DATA[[#This Row],[Medical]]</f>
        <v>23.68</v>
      </c>
      <c r="J175" s="8">
        <f>FARM_DATA[[#This Row],[Misc]]</f>
        <v>21.87</v>
      </c>
      <c r="K175" s="8">
        <f>FARM_DATA[[#This Row],[Total_Expenses]]</f>
        <v>502.49</v>
      </c>
      <c r="L175" s="30">
        <f>FARM_DATA[[#This Row],[Savings]]</f>
        <v>-115.39</v>
      </c>
      <c r="M175" s="5" t="str">
        <f>TEXT(CLEAN_TABLE[[#This Row],[Date]], "mmm")</f>
        <v>Sep</v>
      </c>
      <c r="N175" s="5">
        <f>YEAR(CLEAN_TABLE[[#This Row],[Date]])</f>
        <v>2024</v>
      </c>
      <c r="O175" s="5">
        <f>IF(CLEAN_TABLE[[#This Row],[Farmer_Type]]="Smart",0,1)</f>
        <v>1</v>
      </c>
      <c r="P175" s="7">
        <f>IFERROR(CLEAN_TABLE[[#This Row],[Savings]]/CLEAN_TABLE[[#This Row],[Income]],0)</f>
        <v>-0.2980883492637561</v>
      </c>
      <c r="Q175" s="7">
        <f>IF(CLEAN_TABLE[[#This Row],[Farmer_Type]]="Smart", 1 - (CLEAN_TABLE[[#This Row],[Irrigation]] / 70), 1 - (CLEAN_TABLE[[#This Row],[Irrigation]] / 150))</f>
        <v>0.51340000000000008</v>
      </c>
      <c r="R1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889.59999999999991</v>
      </c>
    </row>
    <row r="176" spans="1:19">
      <c r="A176" s="6">
        <f>FARM_DATA[[#This Row],[Date]]</f>
        <v>45557</v>
      </c>
      <c r="B176" s="5" t="str">
        <f>FARM_DATA[[#This Row],[Farmer_Type]]</f>
        <v>Smart</v>
      </c>
      <c r="C176" s="8">
        <f>FARM_DATA[[#This Row],[Income]]</f>
        <v>1352.68</v>
      </c>
      <c r="D176" s="8">
        <f>FARM_DATA[[#This Row],[Irrigation]]</f>
        <v>15.68</v>
      </c>
      <c r="E176" s="8">
        <f>FARM_DATA[[#This Row],[Seeds]]</f>
        <v>52.69</v>
      </c>
      <c r="F176" s="8">
        <f>FARM_DATA[[#This Row],[Fertilizer]]</f>
        <v>85.54</v>
      </c>
      <c r="G176" s="8">
        <f>FARM_DATA[[#This Row],[Labor]]</f>
        <v>68.06</v>
      </c>
      <c r="H176" s="8">
        <f>FARM_DATA[[#This Row],[Household]]</f>
        <v>135.99</v>
      </c>
      <c r="I176" s="8">
        <f>FARM_DATA[[#This Row],[Medical]]</f>
        <v>32.799999999999997</v>
      </c>
      <c r="J176" s="8">
        <f>FARM_DATA[[#This Row],[Misc]]</f>
        <v>30.15</v>
      </c>
      <c r="K176" s="8">
        <f>FARM_DATA[[#This Row],[Total_Expenses]]</f>
        <v>420.92</v>
      </c>
      <c r="L176" s="30">
        <f>FARM_DATA[[#This Row],[Savings]]</f>
        <v>931.76</v>
      </c>
      <c r="M176" s="5" t="str">
        <f>TEXT(CLEAN_TABLE[[#This Row],[Date]], "mmm")</f>
        <v>Sep</v>
      </c>
      <c r="N176" s="5">
        <f>YEAR(CLEAN_TABLE[[#This Row],[Date]])</f>
        <v>2024</v>
      </c>
      <c r="O176" s="5">
        <f>IF(CLEAN_TABLE[[#This Row],[Farmer_Type]]="Smart",0,1)</f>
        <v>0</v>
      </c>
      <c r="P176" s="7">
        <f>IFERROR(CLEAN_TABLE[[#This Row],[Savings]]/CLEAN_TABLE[[#This Row],[Income]],0)</f>
        <v>0.68882514711535614</v>
      </c>
      <c r="Q176" s="7">
        <f>IF(CLEAN_TABLE[[#This Row],[Farmer_Type]]="Smart", 1 - (CLEAN_TABLE[[#This Row],[Irrigation]] / 70), 1 - (CLEAN_TABLE[[#This Row],[Irrigation]] / 150))</f>
        <v>0.77600000000000002</v>
      </c>
      <c r="R1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1773.5900000000001</v>
      </c>
    </row>
    <row r="177" spans="1:19">
      <c r="A177" s="6">
        <f>FARM_DATA[[#This Row],[Date]]</f>
        <v>45558</v>
      </c>
      <c r="B177" s="5" t="str">
        <f>FARM_DATA[[#This Row],[Farmer_Type]]</f>
        <v>Traditional</v>
      </c>
      <c r="C177" s="8">
        <f>FARM_DATA[[#This Row],[Income]]</f>
        <v>297.64999999999998</v>
      </c>
      <c r="D177" s="8">
        <f>FARM_DATA[[#This Row],[Irrigation]]</f>
        <v>75.37</v>
      </c>
      <c r="E177" s="8">
        <f>FARM_DATA[[#This Row],[Seeds]]</f>
        <v>57.79</v>
      </c>
      <c r="F177" s="8">
        <f>FARM_DATA[[#This Row],[Fertilizer]]</f>
        <v>69.38</v>
      </c>
      <c r="G177" s="8">
        <f>FARM_DATA[[#This Row],[Labor]]</f>
        <v>134.9</v>
      </c>
      <c r="H177" s="8">
        <f>FARM_DATA[[#This Row],[Household]]</f>
        <v>127.3</v>
      </c>
      <c r="I177" s="8">
        <f>FARM_DATA[[#This Row],[Medical]]</f>
        <v>8.6300000000000008</v>
      </c>
      <c r="J177" s="8">
        <f>FARM_DATA[[#This Row],[Misc]]</f>
        <v>48.02</v>
      </c>
      <c r="K177" s="8">
        <f>FARM_DATA[[#This Row],[Total_Expenses]]</f>
        <v>521.37</v>
      </c>
      <c r="L177" s="30">
        <f>FARM_DATA[[#This Row],[Savings]]</f>
        <v>-223.72</v>
      </c>
      <c r="M177" s="5" t="str">
        <f>TEXT(CLEAN_TABLE[[#This Row],[Date]], "mmm")</f>
        <v>Sep</v>
      </c>
      <c r="N177" s="5">
        <f>YEAR(CLEAN_TABLE[[#This Row],[Date]])</f>
        <v>2024</v>
      </c>
      <c r="O177" s="5">
        <f>IF(CLEAN_TABLE[[#This Row],[Farmer_Type]]="Smart",0,1)</f>
        <v>1</v>
      </c>
      <c r="P177" s="7">
        <f>IFERROR(CLEAN_TABLE[[#This Row],[Savings]]/CLEAN_TABLE[[#This Row],[Income]],0)</f>
        <v>-0.75162103141273318</v>
      </c>
      <c r="Q177" s="7">
        <f>IF(CLEAN_TABLE[[#This Row],[Farmer_Type]]="Smart", 1 - (CLEAN_TABLE[[#This Row],[Irrigation]] / 70), 1 - (CLEAN_TABLE[[#This Row],[Irrigation]] / 150))</f>
        <v>0.49753333333333327</v>
      </c>
      <c r="R1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819.04</v>
      </c>
    </row>
    <row r="178" spans="1:19">
      <c r="A178" s="6">
        <f>FARM_DATA[[#This Row],[Date]]</f>
        <v>45559</v>
      </c>
      <c r="B178" s="5" t="str">
        <f>FARM_DATA[[#This Row],[Farmer_Type]]</f>
        <v>Smart</v>
      </c>
      <c r="C178" s="8">
        <f>FARM_DATA[[#This Row],[Income]]</f>
        <v>885.46</v>
      </c>
      <c r="D178" s="8">
        <f>FARM_DATA[[#This Row],[Irrigation]]</f>
        <v>13.75</v>
      </c>
      <c r="E178" s="8">
        <f>FARM_DATA[[#This Row],[Seeds]]</f>
        <v>86.56</v>
      </c>
      <c r="F178" s="8">
        <f>FARM_DATA[[#This Row],[Fertilizer]]</f>
        <v>96.69</v>
      </c>
      <c r="G178" s="8">
        <f>FARM_DATA[[#This Row],[Labor]]</f>
        <v>104.12</v>
      </c>
      <c r="H178" s="8">
        <f>FARM_DATA[[#This Row],[Household]]</f>
        <v>245.78</v>
      </c>
      <c r="I178" s="8">
        <f>FARM_DATA[[#This Row],[Medical]]</f>
        <v>16.21</v>
      </c>
      <c r="J178" s="8">
        <f>FARM_DATA[[#This Row],[Misc]]</f>
        <v>53.92</v>
      </c>
      <c r="K178" s="8">
        <f>FARM_DATA[[#This Row],[Total_Expenses]]</f>
        <v>617.02</v>
      </c>
      <c r="L178" s="30">
        <f>FARM_DATA[[#This Row],[Savings]]</f>
        <v>268.45</v>
      </c>
      <c r="M178" s="5" t="str">
        <f>TEXT(CLEAN_TABLE[[#This Row],[Date]], "mmm")</f>
        <v>Sep</v>
      </c>
      <c r="N178" s="5">
        <f>YEAR(CLEAN_TABLE[[#This Row],[Date]])</f>
        <v>2024</v>
      </c>
      <c r="O178" s="5">
        <f>IF(CLEAN_TABLE[[#This Row],[Farmer_Type]]="Smart",0,1)</f>
        <v>0</v>
      </c>
      <c r="P178" s="7">
        <f>IFERROR(CLEAN_TABLE[[#This Row],[Savings]]/CLEAN_TABLE[[#This Row],[Income]],0)</f>
        <v>0.30317575045738937</v>
      </c>
      <c r="Q178" s="7">
        <f>IF(CLEAN_TABLE[[#This Row],[Farmer_Type]]="Smart", 1 - (CLEAN_TABLE[[#This Row],[Irrigation]] / 70), 1 - (CLEAN_TABLE[[#This Row],[Irrigation]] / 150))</f>
        <v>0.8035714285714286</v>
      </c>
      <c r="R1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1502.49</v>
      </c>
    </row>
    <row r="179" spans="1:19">
      <c r="A179" s="6">
        <f>FARM_DATA[[#This Row],[Date]]</f>
        <v>45560</v>
      </c>
      <c r="B179" s="5" t="str">
        <f>FARM_DATA[[#This Row],[Farmer_Type]]</f>
        <v>Smart</v>
      </c>
      <c r="C179" s="8">
        <f>FARM_DATA[[#This Row],[Income]]</f>
        <v>961.4</v>
      </c>
      <c r="D179" s="8">
        <f>FARM_DATA[[#This Row],[Irrigation]]</f>
        <v>16.34</v>
      </c>
      <c r="E179" s="8">
        <f>FARM_DATA[[#This Row],[Seeds]]</f>
        <v>90.57</v>
      </c>
      <c r="F179" s="8">
        <f>FARM_DATA[[#This Row],[Fertilizer]]</f>
        <v>95.24</v>
      </c>
      <c r="G179" s="8">
        <f>FARM_DATA[[#This Row],[Labor]]</f>
        <v>105.77</v>
      </c>
      <c r="H179" s="8">
        <f>FARM_DATA[[#This Row],[Household]]</f>
        <v>207.54</v>
      </c>
      <c r="I179" s="8">
        <f>FARM_DATA[[#This Row],[Medical]]</f>
        <v>18.72</v>
      </c>
      <c r="J179" s="8">
        <f>FARM_DATA[[#This Row],[Misc]]</f>
        <v>27.41</v>
      </c>
      <c r="K179" s="8">
        <f>FARM_DATA[[#This Row],[Total_Expenses]]</f>
        <v>561.58000000000004</v>
      </c>
      <c r="L179" s="30">
        <f>FARM_DATA[[#This Row],[Savings]]</f>
        <v>399.82</v>
      </c>
      <c r="M179" s="5" t="str">
        <f>TEXT(CLEAN_TABLE[[#This Row],[Date]], "mmm")</f>
        <v>Sep</v>
      </c>
      <c r="N179" s="5">
        <f>YEAR(CLEAN_TABLE[[#This Row],[Date]])</f>
        <v>2024</v>
      </c>
      <c r="O179" s="5">
        <f>IF(CLEAN_TABLE[[#This Row],[Farmer_Type]]="Smart",0,1)</f>
        <v>0</v>
      </c>
      <c r="P179" s="7">
        <f>IFERROR(CLEAN_TABLE[[#This Row],[Savings]]/CLEAN_TABLE[[#This Row],[Income]],0)</f>
        <v>0.41587268566673602</v>
      </c>
      <c r="Q179" s="7">
        <f>IF(CLEAN_TABLE[[#This Row],[Farmer_Type]]="Smart", 1 - (CLEAN_TABLE[[#This Row],[Irrigation]] / 70), 1 - (CLEAN_TABLE[[#This Row],[Irrigation]] / 150))</f>
        <v>0.76657142857142857</v>
      </c>
      <c r="R1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1522.99</v>
      </c>
    </row>
    <row r="180" spans="1:19">
      <c r="A180" s="6">
        <f>FARM_DATA[[#This Row],[Date]]</f>
        <v>45561</v>
      </c>
      <c r="B180" s="5" t="str">
        <f>FARM_DATA[[#This Row],[Farmer_Type]]</f>
        <v>Smart</v>
      </c>
      <c r="C180" s="8">
        <f>FARM_DATA[[#This Row],[Income]]</f>
        <v>741.04</v>
      </c>
      <c r="D180" s="8">
        <f>FARM_DATA[[#This Row],[Irrigation]]</f>
        <v>5.17</v>
      </c>
      <c r="E180" s="8">
        <f>FARM_DATA[[#This Row],[Seeds]]</f>
        <v>101.12</v>
      </c>
      <c r="F180" s="8">
        <f>FARM_DATA[[#This Row],[Fertilizer]]</f>
        <v>46.9</v>
      </c>
      <c r="G180" s="8">
        <f>FARM_DATA[[#This Row],[Labor]]</f>
        <v>90.57</v>
      </c>
      <c r="H180" s="8">
        <f>FARM_DATA[[#This Row],[Household]]</f>
        <v>160.31</v>
      </c>
      <c r="I180" s="8">
        <f>FARM_DATA[[#This Row],[Medical]]</f>
        <v>24.77</v>
      </c>
      <c r="J180" s="8">
        <f>FARM_DATA[[#This Row],[Misc]]</f>
        <v>52.24</v>
      </c>
      <c r="K180" s="8">
        <f>FARM_DATA[[#This Row],[Total_Expenses]]</f>
        <v>481.09</v>
      </c>
      <c r="L180" s="30">
        <f>FARM_DATA[[#This Row],[Savings]]</f>
        <v>259.95</v>
      </c>
      <c r="M180" s="5" t="str">
        <f>TEXT(CLEAN_TABLE[[#This Row],[Date]], "mmm")</f>
        <v>Sep</v>
      </c>
      <c r="N180" s="5">
        <f>YEAR(CLEAN_TABLE[[#This Row],[Date]])</f>
        <v>2024</v>
      </c>
      <c r="O180" s="5">
        <f>IF(CLEAN_TABLE[[#This Row],[Farmer_Type]]="Smart",0,1)</f>
        <v>0</v>
      </c>
      <c r="P180" s="7">
        <f>IFERROR(CLEAN_TABLE[[#This Row],[Savings]]/CLEAN_TABLE[[#This Row],[Income]],0)</f>
        <v>0.35079078052466806</v>
      </c>
      <c r="Q180" s="7">
        <f>IF(CLEAN_TABLE[[#This Row],[Farmer_Type]]="Smart", 1 - (CLEAN_TABLE[[#This Row],[Irrigation]] / 70), 1 - (CLEAN_TABLE[[#This Row],[Irrigation]] / 150))</f>
        <v>0.92614285714285716</v>
      </c>
      <c r="R1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1222.1199999999999</v>
      </c>
    </row>
    <row r="181" spans="1:19">
      <c r="A181" s="6">
        <f>FARM_DATA[[#This Row],[Date]]</f>
        <v>45562</v>
      </c>
      <c r="B181" s="5" t="str">
        <f>FARM_DATA[[#This Row],[Farmer_Type]]</f>
        <v>Traditional</v>
      </c>
      <c r="C181" s="8">
        <f>FARM_DATA[[#This Row],[Income]]</f>
        <v>393.02</v>
      </c>
      <c r="D181" s="8">
        <f>FARM_DATA[[#This Row],[Irrigation]]</f>
        <v>64.17</v>
      </c>
      <c r="E181" s="8">
        <f>FARM_DATA[[#This Row],[Seeds]]</f>
        <v>37.49</v>
      </c>
      <c r="F181" s="8">
        <f>FARM_DATA[[#This Row],[Fertilizer]]</f>
        <v>60.65</v>
      </c>
      <c r="G181" s="8">
        <f>FARM_DATA[[#This Row],[Labor]]</f>
        <v>103.78</v>
      </c>
      <c r="H181" s="8">
        <f>FARM_DATA[[#This Row],[Household]]</f>
        <v>198.22</v>
      </c>
      <c r="I181" s="8">
        <f>FARM_DATA[[#This Row],[Medical]]</f>
        <v>23.93</v>
      </c>
      <c r="J181" s="8">
        <f>FARM_DATA[[#This Row],[Misc]]</f>
        <v>38.82</v>
      </c>
      <c r="K181" s="8">
        <f>FARM_DATA[[#This Row],[Total_Expenses]]</f>
        <v>527.05999999999995</v>
      </c>
      <c r="L181" s="30">
        <f>FARM_DATA[[#This Row],[Savings]]</f>
        <v>-134.04</v>
      </c>
      <c r="M181" s="5" t="str">
        <f>TEXT(CLEAN_TABLE[[#This Row],[Date]], "mmm")</f>
        <v>Sep</v>
      </c>
      <c r="N181" s="5">
        <f>YEAR(CLEAN_TABLE[[#This Row],[Date]])</f>
        <v>2024</v>
      </c>
      <c r="O181" s="5">
        <f>IF(CLEAN_TABLE[[#This Row],[Farmer_Type]]="Smart",0,1)</f>
        <v>1</v>
      </c>
      <c r="P181" s="7">
        <f>IFERROR(CLEAN_TABLE[[#This Row],[Savings]]/CLEAN_TABLE[[#This Row],[Income]],0)</f>
        <v>-0.34105134598748155</v>
      </c>
      <c r="Q181" s="7">
        <f>IF(CLEAN_TABLE[[#This Row],[Farmer_Type]]="Smart", 1 - (CLEAN_TABLE[[#This Row],[Irrigation]] / 70), 1 - (CLEAN_TABLE[[#This Row],[Irrigation]] / 150))</f>
        <v>0.57220000000000004</v>
      </c>
      <c r="R1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920.08</v>
      </c>
    </row>
    <row r="182" spans="1:19">
      <c r="A182" s="6">
        <f>FARM_DATA[[#This Row],[Date]]</f>
        <v>45563</v>
      </c>
      <c r="B182" s="5" t="str">
        <f>FARM_DATA[[#This Row],[Farmer_Type]]</f>
        <v>Smart</v>
      </c>
      <c r="C182" s="8">
        <f>FARM_DATA[[#This Row],[Income]]</f>
        <v>1082.58</v>
      </c>
      <c r="D182" s="8">
        <f>FARM_DATA[[#This Row],[Irrigation]]</f>
        <v>20.87</v>
      </c>
      <c r="E182" s="8">
        <f>FARM_DATA[[#This Row],[Seeds]]</f>
        <v>63.62</v>
      </c>
      <c r="F182" s="8">
        <f>FARM_DATA[[#This Row],[Fertilizer]]</f>
        <v>41.1</v>
      </c>
      <c r="G182" s="8">
        <f>FARM_DATA[[#This Row],[Labor]]</f>
        <v>102.99</v>
      </c>
      <c r="H182" s="8">
        <f>FARM_DATA[[#This Row],[Household]]</f>
        <v>147.19999999999999</v>
      </c>
      <c r="I182" s="8">
        <f>FARM_DATA[[#This Row],[Medical]]</f>
        <v>17.239999999999998</v>
      </c>
      <c r="J182" s="8">
        <f>FARM_DATA[[#This Row],[Misc]]</f>
        <v>48.8</v>
      </c>
      <c r="K182" s="8">
        <f>FARM_DATA[[#This Row],[Total_Expenses]]</f>
        <v>441.82</v>
      </c>
      <c r="L182" s="30">
        <f>FARM_DATA[[#This Row],[Savings]]</f>
        <v>640.76</v>
      </c>
      <c r="M182" s="5" t="str">
        <f>TEXT(CLEAN_TABLE[[#This Row],[Date]], "mmm")</f>
        <v>Sep</v>
      </c>
      <c r="N182" s="5">
        <f>YEAR(CLEAN_TABLE[[#This Row],[Date]])</f>
        <v>2024</v>
      </c>
      <c r="O182" s="5">
        <f>IF(CLEAN_TABLE[[#This Row],[Farmer_Type]]="Smart",0,1)</f>
        <v>0</v>
      </c>
      <c r="P182" s="7">
        <f>IFERROR(CLEAN_TABLE[[#This Row],[Savings]]/CLEAN_TABLE[[#This Row],[Income]],0)</f>
        <v>0.59188235511463361</v>
      </c>
      <c r="Q182" s="7">
        <f>IF(CLEAN_TABLE[[#This Row],[Farmer_Type]]="Smart", 1 - (CLEAN_TABLE[[#This Row],[Irrigation]] / 70), 1 - (CLEAN_TABLE[[#This Row],[Irrigation]] / 150))</f>
        <v>0.70185714285714285</v>
      </c>
      <c r="R1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1524.3999999999996</v>
      </c>
    </row>
    <row r="183" spans="1:19">
      <c r="A183" s="6">
        <f>FARM_DATA[[#This Row],[Date]]</f>
        <v>45564</v>
      </c>
      <c r="B183" s="5" t="str">
        <f>FARM_DATA[[#This Row],[Farmer_Type]]</f>
        <v>Traditional</v>
      </c>
      <c r="C183" s="8">
        <f>FARM_DATA[[#This Row],[Income]]</f>
        <v>411.91</v>
      </c>
      <c r="D183" s="8">
        <f>FARM_DATA[[#This Row],[Irrigation]]</f>
        <v>70.209999999999994</v>
      </c>
      <c r="E183" s="8">
        <f>FARM_DATA[[#This Row],[Seeds]]</f>
        <v>44.63</v>
      </c>
      <c r="F183" s="8">
        <f>FARM_DATA[[#This Row],[Fertilizer]]</f>
        <v>89.04</v>
      </c>
      <c r="G183" s="8">
        <f>FARM_DATA[[#This Row],[Labor]]</f>
        <v>116.02</v>
      </c>
      <c r="H183" s="8">
        <f>FARM_DATA[[#This Row],[Household]]</f>
        <v>228.05</v>
      </c>
      <c r="I183" s="8">
        <f>FARM_DATA[[#This Row],[Medical]]</f>
        <v>24.52</v>
      </c>
      <c r="J183" s="8">
        <f>FARM_DATA[[#This Row],[Misc]]</f>
        <v>8.8699999999999992</v>
      </c>
      <c r="K183" s="8">
        <f>FARM_DATA[[#This Row],[Total_Expenses]]</f>
        <v>581.35</v>
      </c>
      <c r="L183" s="30">
        <f>FARM_DATA[[#This Row],[Savings]]</f>
        <v>-169.44</v>
      </c>
      <c r="M183" s="5" t="str">
        <f>TEXT(CLEAN_TABLE[[#This Row],[Date]], "mmm")</f>
        <v>Sep</v>
      </c>
      <c r="N183" s="5">
        <f>YEAR(CLEAN_TABLE[[#This Row],[Date]])</f>
        <v>2024</v>
      </c>
      <c r="O183" s="5">
        <f>IF(CLEAN_TABLE[[#This Row],[Farmer_Type]]="Smart",0,1)</f>
        <v>1</v>
      </c>
      <c r="P183" s="7">
        <f>IFERROR(CLEAN_TABLE[[#This Row],[Savings]]/CLEAN_TABLE[[#This Row],[Income]],0)</f>
        <v>-0.41135199436770165</v>
      </c>
      <c r="Q183" s="7">
        <f>IF(CLEAN_TABLE[[#This Row],[Farmer_Type]]="Smart", 1 - (CLEAN_TABLE[[#This Row],[Irrigation]] / 70), 1 - (CLEAN_TABLE[[#This Row],[Irrigation]] / 150))</f>
        <v>0.53193333333333337</v>
      </c>
      <c r="R1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993.24999999999989</v>
      </c>
    </row>
    <row r="184" spans="1:19">
      <c r="A184" s="6">
        <f>FARM_DATA[[#This Row],[Date]]</f>
        <v>45565</v>
      </c>
      <c r="B184" s="5" t="str">
        <f>FARM_DATA[[#This Row],[Farmer_Type]]</f>
        <v>Traditional</v>
      </c>
      <c r="C184" s="8">
        <f>FARM_DATA[[#This Row],[Income]]</f>
        <v>387.67</v>
      </c>
      <c r="D184" s="8">
        <f>FARM_DATA[[#This Row],[Irrigation]]</f>
        <v>73.81</v>
      </c>
      <c r="E184" s="8">
        <f>FARM_DATA[[#This Row],[Seeds]]</f>
        <v>59.35</v>
      </c>
      <c r="F184" s="8">
        <f>FARM_DATA[[#This Row],[Fertilizer]]</f>
        <v>68.459999999999994</v>
      </c>
      <c r="G184" s="8">
        <f>FARM_DATA[[#This Row],[Labor]]</f>
        <v>106.54</v>
      </c>
      <c r="H184" s="8">
        <f>FARM_DATA[[#This Row],[Household]]</f>
        <v>113.27</v>
      </c>
      <c r="I184" s="8">
        <f>FARM_DATA[[#This Row],[Medical]]</f>
        <v>18.329999999999998</v>
      </c>
      <c r="J184" s="8">
        <f>FARM_DATA[[#This Row],[Misc]]</f>
        <v>19.79</v>
      </c>
      <c r="K184" s="8">
        <f>FARM_DATA[[#This Row],[Total_Expenses]]</f>
        <v>459.55</v>
      </c>
      <c r="L184" s="30">
        <f>FARM_DATA[[#This Row],[Savings]]</f>
        <v>-71.89</v>
      </c>
      <c r="M184" s="5" t="str">
        <f>TEXT(CLEAN_TABLE[[#This Row],[Date]], "mmm")</f>
        <v>Sep</v>
      </c>
      <c r="N184" s="5">
        <f>YEAR(CLEAN_TABLE[[#This Row],[Date]])</f>
        <v>2024</v>
      </c>
      <c r="O184" s="5">
        <f>IF(CLEAN_TABLE[[#This Row],[Farmer_Type]]="Smart",0,1)</f>
        <v>1</v>
      </c>
      <c r="P184" s="7">
        <f>IFERROR(CLEAN_TABLE[[#This Row],[Savings]]/CLEAN_TABLE[[#This Row],[Income]],0)</f>
        <v>-0.18544122578481698</v>
      </c>
      <c r="Q184" s="7">
        <f>IF(CLEAN_TABLE[[#This Row],[Farmer_Type]]="Smart", 1 - (CLEAN_TABLE[[#This Row],[Irrigation]] / 70), 1 - (CLEAN_TABLE[[#This Row],[Irrigation]] / 150))</f>
        <v>0.50793333333333335</v>
      </c>
      <c r="R1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847.22</v>
      </c>
    </row>
    <row r="185" spans="1:19">
      <c r="A185" s="6">
        <f>FARM_DATA[[#This Row],[Date]]</f>
        <v>45566</v>
      </c>
      <c r="B185" s="5" t="str">
        <f>FARM_DATA[[#This Row],[Farmer_Type]]</f>
        <v>Smart</v>
      </c>
      <c r="C185" s="8">
        <f>FARM_DATA[[#This Row],[Income]]</f>
        <v>833.9</v>
      </c>
      <c r="D185" s="8">
        <f>FARM_DATA[[#This Row],[Irrigation]]</f>
        <v>17.940000000000001</v>
      </c>
      <c r="E185" s="8">
        <f>FARM_DATA[[#This Row],[Seeds]]</f>
        <v>93.4</v>
      </c>
      <c r="F185" s="8">
        <f>FARM_DATA[[#This Row],[Fertilizer]]</f>
        <v>91.84</v>
      </c>
      <c r="G185" s="8">
        <f>FARM_DATA[[#This Row],[Labor]]</f>
        <v>71.08</v>
      </c>
      <c r="H185" s="8">
        <f>FARM_DATA[[#This Row],[Household]]</f>
        <v>185.56</v>
      </c>
      <c r="I185" s="8">
        <f>FARM_DATA[[#This Row],[Medical]]</f>
        <v>32.770000000000003</v>
      </c>
      <c r="J185" s="8">
        <f>FARM_DATA[[#This Row],[Misc]]</f>
        <v>30.85</v>
      </c>
      <c r="K185" s="8">
        <f>FARM_DATA[[#This Row],[Total_Expenses]]</f>
        <v>523.45000000000005</v>
      </c>
      <c r="L185" s="30">
        <f>FARM_DATA[[#This Row],[Savings]]</f>
        <v>310.45</v>
      </c>
      <c r="M185" s="5" t="str">
        <f>TEXT(CLEAN_TABLE[[#This Row],[Date]], "mmm")</f>
        <v>Oct</v>
      </c>
      <c r="N185" s="5">
        <f>YEAR(CLEAN_TABLE[[#This Row],[Date]])</f>
        <v>2024</v>
      </c>
      <c r="O185" s="5">
        <f>IF(CLEAN_TABLE[[#This Row],[Farmer_Type]]="Smart",0,1)</f>
        <v>0</v>
      </c>
      <c r="P185" s="7">
        <f>IFERROR(CLEAN_TABLE[[#This Row],[Savings]]/CLEAN_TABLE[[#This Row],[Income]],0)</f>
        <v>0.37228684494543712</v>
      </c>
      <c r="Q185" s="7">
        <f>IF(CLEAN_TABLE[[#This Row],[Farmer_Type]]="Smart", 1 - (CLEAN_TABLE[[#This Row],[Irrigation]] / 70), 1 - (CLEAN_TABLE[[#This Row],[Irrigation]] / 150))</f>
        <v>0.74371428571428577</v>
      </c>
      <c r="R1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1357.3399999999997</v>
      </c>
    </row>
    <row r="186" spans="1:19">
      <c r="A186" s="6">
        <f>FARM_DATA[[#This Row],[Date]]</f>
        <v>45567</v>
      </c>
      <c r="B186" s="5" t="str">
        <f>FARM_DATA[[#This Row],[Farmer_Type]]</f>
        <v>Traditional</v>
      </c>
      <c r="C186" s="8">
        <f>FARM_DATA[[#This Row],[Income]]</f>
        <v>343.3</v>
      </c>
      <c r="D186" s="8">
        <f>FARM_DATA[[#This Row],[Irrigation]]</f>
        <v>70.150000000000006</v>
      </c>
      <c r="E186" s="8">
        <f>FARM_DATA[[#This Row],[Seeds]]</f>
        <v>28.23</v>
      </c>
      <c r="F186" s="8">
        <f>FARM_DATA[[#This Row],[Fertilizer]]</f>
        <v>67.97</v>
      </c>
      <c r="G186" s="8">
        <f>FARM_DATA[[#This Row],[Labor]]</f>
        <v>106.98</v>
      </c>
      <c r="H186" s="8">
        <f>FARM_DATA[[#This Row],[Household]]</f>
        <v>162.59</v>
      </c>
      <c r="I186" s="8">
        <f>FARM_DATA[[#This Row],[Medical]]</f>
        <v>12.9</v>
      </c>
      <c r="J186" s="8">
        <f>FARM_DATA[[#This Row],[Misc]]</f>
        <v>24.75</v>
      </c>
      <c r="K186" s="8">
        <f>FARM_DATA[[#This Row],[Total_Expenses]]</f>
        <v>473.55</v>
      </c>
      <c r="L186" s="30">
        <f>FARM_DATA[[#This Row],[Savings]]</f>
        <v>-130.25</v>
      </c>
      <c r="M186" s="5" t="str">
        <f>TEXT(CLEAN_TABLE[[#This Row],[Date]], "mmm")</f>
        <v>Oct</v>
      </c>
      <c r="N186" s="5">
        <f>YEAR(CLEAN_TABLE[[#This Row],[Date]])</f>
        <v>2024</v>
      </c>
      <c r="O186" s="5">
        <f>IF(CLEAN_TABLE[[#This Row],[Farmer_Type]]="Smart",0,1)</f>
        <v>1</v>
      </c>
      <c r="P186" s="7">
        <f>IFERROR(CLEAN_TABLE[[#This Row],[Savings]]/CLEAN_TABLE[[#This Row],[Income]],0)</f>
        <v>-0.37940576755024757</v>
      </c>
      <c r="Q186" s="7">
        <f>IF(CLEAN_TABLE[[#This Row],[Farmer_Type]]="Smart", 1 - (CLEAN_TABLE[[#This Row],[Irrigation]] / 70), 1 - (CLEAN_TABLE[[#This Row],[Irrigation]] / 150))</f>
        <v>0.53233333333333333</v>
      </c>
      <c r="R1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816.87000000000012</v>
      </c>
    </row>
    <row r="187" spans="1:19">
      <c r="A187" s="6">
        <f>FARM_DATA[[#This Row],[Date]]</f>
        <v>45568</v>
      </c>
      <c r="B187" s="5" t="str">
        <f>FARM_DATA[[#This Row],[Farmer_Type]]</f>
        <v>Smart</v>
      </c>
      <c r="C187" s="8">
        <f>FARM_DATA[[#This Row],[Income]]</f>
        <v>1094.48</v>
      </c>
      <c r="D187" s="8">
        <f>FARM_DATA[[#This Row],[Irrigation]]</f>
        <v>13.14</v>
      </c>
      <c r="E187" s="8">
        <f>FARM_DATA[[#This Row],[Seeds]]</f>
        <v>94.54</v>
      </c>
      <c r="F187" s="8">
        <f>FARM_DATA[[#This Row],[Fertilizer]]</f>
        <v>68.010000000000005</v>
      </c>
      <c r="G187" s="8">
        <f>FARM_DATA[[#This Row],[Labor]]</f>
        <v>99.49</v>
      </c>
      <c r="H187" s="8">
        <f>FARM_DATA[[#This Row],[Household]]</f>
        <v>202.64</v>
      </c>
      <c r="I187" s="8">
        <f>FARM_DATA[[#This Row],[Medical]]</f>
        <v>9.23</v>
      </c>
      <c r="J187" s="8">
        <f>FARM_DATA[[#This Row],[Misc]]</f>
        <v>13.59</v>
      </c>
      <c r="K187" s="8">
        <f>FARM_DATA[[#This Row],[Total_Expenses]]</f>
        <v>500.64</v>
      </c>
      <c r="L187" s="30">
        <f>FARM_DATA[[#This Row],[Savings]]</f>
        <v>593.83000000000004</v>
      </c>
      <c r="M187" s="5" t="str">
        <f>TEXT(CLEAN_TABLE[[#This Row],[Date]], "mmm")</f>
        <v>Oct</v>
      </c>
      <c r="N187" s="5">
        <f>YEAR(CLEAN_TABLE[[#This Row],[Date]])</f>
        <v>2024</v>
      </c>
      <c r="O187" s="5">
        <f>IF(CLEAN_TABLE[[#This Row],[Farmer_Type]]="Smart",0,1)</f>
        <v>0</v>
      </c>
      <c r="P187" s="7">
        <f>IFERROR(CLEAN_TABLE[[#This Row],[Savings]]/CLEAN_TABLE[[#This Row],[Income]],0)</f>
        <v>0.542568160222206</v>
      </c>
      <c r="Q187" s="7">
        <f>IF(CLEAN_TABLE[[#This Row],[Farmer_Type]]="Smart", 1 - (CLEAN_TABLE[[#This Row],[Irrigation]] / 70), 1 - (CLEAN_TABLE[[#This Row],[Irrigation]] / 150))</f>
        <v>0.81228571428571428</v>
      </c>
      <c r="R1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1595.1200000000001</v>
      </c>
    </row>
    <row r="188" spans="1:19">
      <c r="A188" s="6">
        <f>FARM_DATA[[#This Row],[Date]]</f>
        <v>45569</v>
      </c>
      <c r="B188" s="5" t="str">
        <f>FARM_DATA[[#This Row],[Farmer_Type]]</f>
        <v>Traditional</v>
      </c>
      <c r="C188" s="8">
        <f>FARM_DATA[[#This Row],[Income]]</f>
        <v>273.72000000000003</v>
      </c>
      <c r="D188" s="8">
        <f>FARM_DATA[[#This Row],[Irrigation]]</f>
        <v>82.63</v>
      </c>
      <c r="E188" s="8">
        <f>FARM_DATA[[#This Row],[Seeds]]</f>
        <v>31.72</v>
      </c>
      <c r="F188" s="8">
        <f>FARM_DATA[[#This Row],[Fertilizer]]</f>
        <v>106.16</v>
      </c>
      <c r="G188" s="8">
        <f>FARM_DATA[[#This Row],[Labor]]</f>
        <v>95.89</v>
      </c>
      <c r="H188" s="8">
        <f>FARM_DATA[[#This Row],[Household]]</f>
        <v>155.54</v>
      </c>
      <c r="I188" s="8">
        <f>FARM_DATA[[#This Row],[Medical]]</f>
        <v>32.340000000000003</v>
      </c>
      <c r="J188" s="8">
        <f>FARM_DATA[[#This Row],[Misc]]</f>
        <v>54.07</v>
      </c>
      <c r="K188" s="8">
        <f>FARM_DATA[[#This Row],[Total_Expenses]]</f>
        <v>558.35</v>
      </c>
      <c r="L188" s="30">
        <f>FARM_DATA[[#This Row],[Savings]]</f>
        <v>-284.64</v>
      </c>
      <c r="M188" s="5" t="str">
        <f>TEXT(CLEAN_TABLE[[#This Row],[Date]], "mmm")</f>
        <v>Oct</v>
      </c>
      <c r="N188" s="5">
        <f>YEAR(CLEAN_TABLE[[#This Row],[Date]])</f>
        <v>2024</v>
      </c>
      <c r="O188" s="5">
        <f>IF(CLEAN_TABLE[[#This Row],[Farmer_Type]]="Smart",0,1)</f>
        <v>1</v>
      </c>
      <c r="P188" s="7">
        <f>IFERROR(CLEAN_TABLE[[#This Row],[Savings]]/CLEAN_TABLE[[#This Row],[Income]],0)</f>
        <v>-1.0398947829899166</v>
      </c>
      <c r="Q188" s="7">
        <f>IF(CLEAN_TABLE[[#This Row],[Farmer_Type]]="Smart", 1 - (CLEAN_TABLE[[#This Row],[Irrigation]] / 70), 1 - (CLEAN_TABLE[[#This Row],[Irrigation]] / 150))</f>
        <v>0.44913333333333338</v>
      </c>
      <c r="R1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832.07</v>
      </c>
    </row>
    <row r="189" spans="1:19">
      <c r="A189" s="6">
        <f>FARM_DATA[[#This Row],[Date]]</f>
        <v>45570</v>
      </c>
      <c r="B189" s="5" t="str">
        <f>FARM_DATA[[#This Row],[Farmer_Type]]</f>
        <v>Traditional</v>
      </c>
      <c r="C189" s="8">
        <f>FARM_DATA[[#This Row],[Income]]</f>
        <v>453.08</v>
      </c>
      <c r="D189" s="8">
        <f>FARM_DATA[[#This Row],[Irrigation]]</f>
        <v>82.08</v>
      </c>
      <c r="E189" s="8">
        <f>FARM_DATA[[#This Row],[Seeds]]</f>
        <v>55.36</v>
      </c>
      <c r="F189" s="8">
        <f>FARM_DATA[[#This Row],[Fertilizer]]</f>
        <v>66.849999999999994</v>
      </c>
      <c r="G189" s="8">
        <f>FARM_DATA[[#This Row],[Labor]]</f>
        <v>129.46</v>
      </c>
      <c r="H189" s="8">
        <f>FARM_DATA[[#This Row],[Household]]</f>
        <v>133.46</v>
      </c>
      <c r="I189" s="8">
        <f>FARM_DATA[[#This Row],[Medical]]</f>
        <v>13.45</v>
      </c>
      <c r="J189" s="8">
        <f>FARM_DATA[[#This Row],[Misc]]</f>
        <v>29.96</v>
      </c>
      <c r="K189" s="8">
        <f>FARM_DATA[[#This Row],[Total_Expenses]]</f>
        <v>510.63</v>
      </c>
      <c r="L189" s="30">
        <f>FARM_DATA[[#This Row],[Savings]]</f>
        <v>-57.56</v>
      </c>
      <c r="M189" s="5" t="str">
        <f>TEXT(CLEAN_TABLE[[#This Row],[Date]], "mmm")</f>
        <v>Oct</v>
      </c>
      <c r="N189" s="5">
        <f>YEAR(CLEAN_TABLE[[#This Row],[Date]])</f>
        <v>2024</v>
      </c>
      <c r="O189" s="5">
        <f>IF(CLEAN_TABLE[[#This Row],[Farmer_Type]]="Smart",0,1)</f>
        <v>1</v>
      </c>
      <c r="P189" s="7">
        <f>IFERROR(CLEAN_TABLE[[#This Row],[Savings]]/CLEAN_TABLE[[#This Row],[Income]],0)</f>
        <v>-0.12704158206056326</v>
      </c>
      <c r="Q189" s="7">
        <f>IF(CLEAN_TABLE[[#This Row],[Farmer_Type]]="Smart", 1 - (CLEAN_TABLE[[#This Row],[Irrigation]] / 70), 1 - (CLEAN_TABLE[[#This Row],[Irrigation]] / 150))</f>
        <v>0.45279999999999998</v>
      </c>
      <c r="R1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963.70000000000016</v>
      </c>
    </row>
    <row r="190" spans="1:19">
      <c r="A190" s="6">
        <f>FARM_DATA[[#This Row],[Date]]</f>
        <v>45571</v>
      </c>
      <c r="B190" s="5" t="str">
        <f>FARM_DATA[[#This Row],[Farmer_Type]]</f>
        <v>Smart</v>
      </c>
      <c r="C190" s="8">
        <f>FARM_DATA[[#This Row],[Income]]</f>
        <v>915.96</v>
      </c>
      <c r="D190" s="8">
        <f>FARM_DATA[[#This Row],[Irrigation]]</f>
        <v>12.73</v>
      </c>
      <c r="E190" s="8">
        <f>FARM_DATA[[#This Row],[Seeds]]</f>
        <v>73.930000000000007</v>
      </c>
      <c r="F190" s="8">
        <f>FARM_DATA[[#This Row],[Fertilizer]]</f>
        <v>108.66</v>
      </c>
      <c r="G190" s="8">
        <f>FARM_DATA[[#This Row],[Labor]]</f>
        <v>96.77</v>
      </c>
      <c r="H190" s="8">
        <f>FARM_DATA[[#This Row],[Household]]</f>
        <v>221.71</v>
      </c>
      <c r="I190" s="8">
        <f>FARM_DATA[[#This Row],[Medical]]</f>
        <v>11.72</v>
      </c>
      <c r="J190" s="8">
        <f>FARM_DATA[[#This Row],[Misc]]</f>
        <v>37.1</v>
      </c>
      <c r="K190" s="8">
        <f>FARM_DATA[[#This Row],[Total_Expenses]]</f>
        <v>562.62</v>
      </c>
      <c r="L190" s="30">
        <f>FARM_DATA[[#This Row],[Savings]]</f>
        <v>353.34</v>
      </c>
      <c r="M190" s="5" t="str">
        <f>TEXT(CLEAN_TABLE[[#This Row],[Date]], "mmm")</f>
        <v>Oct</v>
      </c>
      <c r="N190" s="5">
        <f>YEAR(CLEAN_TABLE[[#This Row],[Date]])</f>
        <v>2024</v>
      </c>
      <c r="O190" s="5">
        <f>IF(CLEAN_TABLE[[#This Row],[Farmer_Type]]="Smart",0,1)</f>
        <v>0</v>
      </c>
      <c r="P190" s="7">
        <f>IFERROR(CLEAN_TABLE[[#This Row],[Savings]]/CLEAN_TABLE[[#This Row],[Income]],0)</f>
        <v>0.38575920345866627</v>
      </c>
      <c r="Q190" s="7">
        <f>IF(CLEAN_TABLE[[#This Row],[Farmer_Type]]="Smart", 1 - (CLEAN_TABLE[[#This Row],[Irrigation]] / 70), 1 - (CLEAN_TABLE[[#This Row],[Irrigation]] / 150))</f>
        <v>0.81814285714285717</v>
      </c>
      <c r="R1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1478.5800000000002</v>
      </c>
    </row>
    <row r="191" spans="1:19">
      <c r="A191" s="6">
        <f>FARM_DATA[[#This Row],[Date]]</f>
        <v>45572</v>
      </c>
      <c r="B191" s="5" t="str">
        <f>FARM_DATA[[#This Row],[Farmer_Type]]</f>
        <v>Traditional</v>
      </c>
      <c r="C191" s="8">
        <f>FARM_DATA[[#This Row],[Income]]</f>
        <v>314.16000000000003</v>
      </c>
      <c r="D191" s="8">
        <f>FARM_DATA[[#This Row],[Irrigation]]</f>
        <v>51.33</v>
      </c>
      <c r="E191" s="8">
        <f>FARM_DATA[[#This Row],[Seeds]]</f>
        <v>38.76</v>
      </c>
      <c r="F191" s="8">
        <f>FARM_DATA[[#This Row],[Fertilizer]]</f>
        <v>52.57</v>
      </c>
      <c r="G191" s="8">
        <f>FARM_DATA[[#This Row],[Labor]]</f>
        <v>147.84</v>
      </c>
      <c r="H191" s="8">
        <f>FARM_DATA[[#This Row],[Household]]</f>
        <v>168.92</v>
      </c>
      <c r="I191" s="8">
        <f>FARM_DATA[[#This Row],[Medical]]</f>
        <v>11.81</v>
      </c>
      <c r="J191" s="8">
        <f>FARM_DATA[[#This Row],[Misc]]</f>
        <v>52.25</v>
      </c>
      <c r="K191" s="8">
        <f>FARM_DATA[[#This Row],[Total_Expenses]]</f>
        <v>523.48</v>
      </c>
      <c r="L191" s="30">
        <f>FARM_DATA[[#This Row],[Savings]]</f>
        <v>-209.32</v>
      </c>
      <c r="M191" s="5" t="str">
        <f>TEXT(CLEAN_TABLE[[#This Row],[Date]], "mmm")</f>
        <v>Oct</v>
      </c>
      <c r="N191" s="5">
        <f>YEAR(CLEAN_TABLE[[#This Row],[Date]])</f>
        <v>2024</v>
      </c>
      <c r="O191" s="5">
        <f>IF(CLEAN_TABLE[[#This Row],[Farmer_Type]]="Smart",0,1)</f>
        <v>1</v>
      </c>
      <c r="P191" s="7">
        <f>IFERROR(CLEAN_TABLE[[#This Row],[Savings]]/CLEAN_TABLE[[#This Row],[Income]],0)</f>
        <v>-0.66628469569646032</v>
      </c>
      <c r="Q191" s="7">
        <f>IF(CLEAN_TABLE[[#This Row],[Farmer_Type]]="Smart", 1 - (CLEAN_TABLE[[#This Row],[Irrigation]] / 70), 1 - (CLEAN_TABLE[[#This Row],[Irrigation]] / 150))</f>
        <v>0.65779999999999994</v>
      </c>
      <c r="R1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837.63999999999987</v>
      </c>
    </row>
    <row r="192" spans="1:19">
      <c r="A192" s="6">
        <f>FARM_DATA[[#This Row],[Date]]</f>
        <v>45573</v>
      </c>
      <c r="B192" s="5" t="str">
        <f>FARM_DATA[[#This Row],[Farmer_Type]]</f>
        <v>Traditional</v>
      </c>
      <c r="C192" s="8">
        <f>FARM_DATA[[#This Row],[Income]]</f>
        <v>411.05</v>
      </c>
      <c r="D192" s="8">
        <f>FARM_DATA[[#This Row],[Irrigation]]</f>
        <v>75.819999999999993</v>
      </c>
      <c r="E192" s="8">
        <f>FARM_DATA[[#This Row],[Seeds]]</f>
        <v>36.6</v>
      </c>
      <c r="F192" s="8">
        <f>FARM_DATA[[#This Row],[Fertilizer]]</f>
        <v>35.81</v>
      </c>
      <c r="G192" s="8">
        <f>FARM_DATA[[#This Row],[Labor]]</f>
        <v>100.69</v>
      </c>
      <c r="H192" s="8">
        <f>FARM_DATA[[#This Row],[Household]]</f>
        <v>182.66</v>
      </c>
      <c r="I192" s="8">
        <f>FARM_DATA[[#This Row],[Medical]]</f>
        <v>35.08</v>
      </c>
      <c r="J192" s="8">
        <f>FARM_DATA[[#This Row],[Misc]]</f>
        <v>48.52</v>
      </c>
      <c r="K192" s="8">
        <f>FARM_DATA[[#This Row],[Total_Expenses]]</f>
        <v>515.19000000000005</v>
      </c>
      <c r="L192" s="30">
        <f>FARM_DATA[[#This Row],[Savings]]</f>
        <v>-104.14</v>
      </c>
      <c r="M192" s="5" t="str">
        <f>TEXT(CLEAN_TABLE[[#This Row],[Date]], "mmm")</f>
        <v>Oct</v>
      </c>
      <c r="N192" s="5">
        <f>YEAR(CLEAN_TABLE[[#This Row],[Date]])</f>
        <v>2024</v>
      </c>
      <c r="O192" s="5">
        <f>IF(CLEAN_TABLE[[#This Row],[Farmer_Type]]="Smart",0,1)</f>
        <v>1</v>
      </c>
      <c r="P192" s="7">
        <f>IFERROR(CLEAN_TABLE[[#This Row],[Savings]]/CLEAN_TABLE[[#This Row],[Income]],0)</f>
        <v>-0.25335117382313588</v>
      </c>
      <c r="Q192" s="7">
        <f>IF(CLEAN_TABLE[[#This Row],[Farmer_Type]]="Smart", 1 - (CLEAN_TABLE[[#This Row],[Irrigation]] / 70), 1 - (CLEAN_TABLE[[#This Row],[Irrigation]] / 150))</f>
        <v>0.49453333333333338</v>
      </c>
      <c r="R1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926.23</v>
      </c>
    </row>
    <row r="193" spans="1:19">
      <c r="A193" s="6">
        <f>FARM_DATA[[#This Row],[Date]]</f>
        <v>45574</v>
      </c>
      <c r="B193" s="5" t="str">
        <f>FARM_DATA[[#This Row],[Farmer_Type]]</f>
        <v>Smart</v>
      </c>
      <c r="C193" s="8">
        <f>FARM_DATA[[#This Row],[Income]]</f>
        <v>852.23</v>
      </c>
      <c r="D193" s="8">
        <f>FARM_DATA[[#This Row],[Irrigation]]</f>
        <v>9.4</v>
      </c>
      <c r="E193" s="8">
        <f>FARM_DATA[[#This Row],[Seeds]]</f>
        <v>62.82</v>
      </c>
      <c r="F193" s="8">
        <f>FARM_DATA[[#This Row],[Fertilizer]]</f>
        <v>26.95</v>
      </c>
      <c r="G193" s="8">
        <f>FARM_DATA[[#This Row],[Labor]]</f>
        <v>101.46</v>
      </c>
      <c r="H193" s="8">
        <f>FARM_DATA[[#This Row],[Household]]</f>
        <v>164.83</v>
      </c>
      <c r="I193" s="8">
        <f>FARM_DATA[[#This Row],[Medical]]</f>
        <v>17.809999999999999</v>
      </c>
      <c r="J193" s="8">
        <f>FARM_DATA[[#This Row],[Misc]]</f>
        <v>16.079999999999998</v>
      </c>
      <c r="K193" s="8">
        <f>FARM_DATA[[#This Row],[Total_Expenses]]</f>
        <v>399.35</v>
      </c>
      <c r="L193" s="30">
        <f>FARM_DATA[[#This Row],[Savings]]</f>
        <v>452.88</v>
      </c>
      <c r="M193" s="5" t="str">
        <f>TEXT(CLEAN_TABLE[[#This Row],[Date]], "mmm")</f>
        <v>Oct</v>
      </c>
      <c r="N193" s="5">
        <f>YEAR(CLEAN_TABLE[[#This Row],[Date]])</f>
        <v>2024</v>
      </c>
      <c r="O193" s="5">
        <f>IF(CLEAN_TABLE[[#This Row],[Farmer_Type]]="Smart",0,1)</f>
        <v>0</v>
      </c>
      <c r="P193" s="7">
        <f>IFERROR(CLEAN_TABLE[[#This Row],[Savings]]/CLEAN_TABLE[[#This Row],[Income]],0)</f>
        <v>0.5314058411461694</v>
      </c>
      <c r="Q193" s="7">
        <f>IF(CLEAN_TABLE[[#This Row],[Farmer_Type]]="Smart", 1 - (CLEAN_TABLE[[#This Row],[Irrigation]] / 70), 1 - (CLEAN_TABLE[[#This Row],[Irrigation]] / 150))</f>
        <v>0.86571428571428566</v>
      </c>
      <c r="R1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1251.58</v>
      </c>
    </row>
    <row r="194" spans="1:19">
      <c r="A194" s="6">
        <f>FARM_DATA[[#This Row],[Date]]</f>
        <v>45575</v>
      </c>
      <c r="B194" s="5" t="str">
        <f>FARM_DATA[[#This Row],[Farmer_Type]]</f>
        <v>Smart</v>
      </c>
      <c r="C194" s="8">
        <f>FARM_DATA[[#This Row],[Income]]</f>
        <v>1052.72</v>
      </c>
      <c r="D194" s="8">
        <f>FARM_DATA[[#This Row],[Irrigation]]</f>
        <v>12.34</v>
      </c>
      <c r="E194" s="8">
        <f>FARM_DATA[[#This Row],[Seeds]]</f>
        <v>36.6</v>
      </c>
      <c r="F194" s="8">
        <f>FARM_DATA[[#This Row],[Fertilizer]]</f>
        <v>-6.17</v>
      </c>
      <c r="G194" s="8">
        <f>FARM_DATA[[#This Row],[Labor]]</f>
        <v>94.45</v>
      </c>
      <c r="H194" s="8">
        <f>FARM_DATA[[#This Row],[Household]]</f>
        <v>232.03</v>
      </c>
      <c r="I194" s="8">
        <f>FARM_DATA[[#This Row],[Medical]]</f>
        <v>36.950000000000003</v>
      </c>
      <c r="J194" s="8">
        <f>FARM_DATA[[#This Row],[Misc]]</f>
        <v>33.14</v>
      </c>
      <c r="K194" s="8">
        <f>FARM_DATA[[#This Row],[Total_Expenses]]</f>
        <v>439.34</v>
      </c>
      <c r="L194" s="30">
        <f>FARM_DATA[[#This Row],[Savings]]</f>
        <v>613.38</v>
      </c>
      <c r="M194" s="5" t="str">
        <f>TEXT(CLEAN_TABLE[[#This Row],[Date]], "mmm")</f>
        <v>Oct</v>
      </c>
      <c r="N194" s="5">
        <f>YEAR(CLEAN_TABLE[[#This Row],[Date]])</f>
        <v>2024</v>
      </c>
      <c r="O194" s="5">
        <f>IF(CLEAN_TABLE[[#This Row],[Farmer_Type]]="Smart",0,1)</f>
        <v>0</v>
      </c>
      <c r="P194" s="7">
        <f>IFERROR(CLEAN_TABLE[[#This Row],[Savings]]/CLEAN_TABLE[[#This Row],[Income]],0)</f>
        <v>0.58266205638726343</v>
      </c>
      <c r="Q194" s="7">
        <f>IF(CLEAN_TABLE[[#This Row],[Farmer_Type]]="Smart", 1 - (CLEAN_TABLE[[#This Row],[Irrigation]] / 70), 1 - (CLEAN_TABLE[[#This Row],[Irrigation]] / 150))</f>
        <v>0.82371428571428573</v>
      </c>
      <c r="R1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1492.06</v>
      </c>
    </row>
    <row r="195" spans="1:19">
      <c r="A195" s="6">
        <f>FARM_DATA[[#This Row],[Date]]</f>
        <v>45576</v>
      </c>
      <c r="B195" s="5" t="str">
        <f>FARM_DATA[[#This Row],[Farmer_Type]]</f>
        <v>Smart</v>
      </c>
      <c r="C195" s="8">
        <f>FARM_DATA[[#This Row],[Income]]</f>
        <v>829.56</v>
      </c>
      <c r="D195" s="8">
        <f>FARM_DATA[[#This Row],[Irrigation]]</f>
        <v>17.34</v>
      </c>
      <c r="E195" s="8">
        <f>FARM_DATA[[#This Row],[Seeds]]</f>
        <v>40.03</v>
      </c>
      <c r="F195" s="8">
        <f>FARM_DATA[[#This Row],[Fertilizer]]</f>
        <v>89.05</v>
      </c>
      <c r="G195" s="8">
        <f>FARM_DATA[[#This Row],[Labor]]</f>
        <v>110.32</v>
      </c>
      <c r="H195" s="8">
        <f>FARM_DATA[[#This Row],[Household]]</f>
        <v>212.94</v>
      </c>
      <c r="I195" s="8">
        <f>FARM_DATA[[#This Row],[Medical]]</f>
        <v>21.1</v>
      </c>
      <c r="J195" s="8">
        <f>FARM_DATA[[#This Row],[Misc]]</f>
        <v>36.94</v>
      </c>
      <c r="K195" s="8">
        <f>FARM_DATA[[#This Row],[Total_Expenses]]</f>
        <v>527.74</v>
      </c>
      <c r="L195" s="30">
        <f>FARM_DATA[[#This Row],[Savings]]</f>
        <v>301.82</v>
      </c>
      <c r="M195" s="5" t="str">
        <f>TEXT(CLEAN_TABLE[[#This Row],[Date]], "mmm")</f>
        <v>Oct</v>
      </c>
      <c r="N195" s="5">
        <f>YEAR(CLEAN_TABLE[[#This Row],[Date]])</f>
        <v>2024</v>
      </c>
      <c r="O195" s="5">
        <f>IF(CLEAN_TABLE[[#This Row],[Farmer_Type]]="Smart",0,1)</f>
        <v>0</v>
      </c>
      <c r="P195" s="7">
        <f>IFERROR(CLEAN_TABLE[[#This Row],[Savings]]/CLEAN_TABLE[[#This Row],[Income]],0)</f>
        <v>0.36383142870919527</v>
      </c>
      <c r="Q195" s="7">
        <f>IF(CLEAN_TABLE[[#This Row],[Farmer_Type]]="Smart", 1 - (CLEAN_TABLE[[#This Row],[Irrigation]] / 70), 1 - (CLEAN_TABLE[[#This Row],[Irrigation]] / 150))</f>
        <v>0.75228571428571422</v>
      </c>
      <c r="R1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1357.28</v>
      </c>
    </row>
    <row r="196" spans="1:19">
      <c r="A196" s="6">
        <f>FARM_DATA[[#This Row],[Date]]</f>
        <v>45577</v>
      </c>
      <c r="B196" s="5" t="str">
        <f>FARM_DATA[[#This Row],[Farmer_Type]]</f>
        <v>Traditional</v>
      </c>
      <c r="C196" s="8">
        <f>FARM_DATA[[#This Row],[Income]]</f>
        <v>306.10000000000002</v>
      </c>
      <c r="D196" s="8">
        <f>FARM_DATA[[#This Row],[Irrigation]]</f>
        <v>61.73</v>
      </c>
      <c r="E196" s="8">
        <f>FARM_DATA[[#This Row],[Seeds]]</f>
        <v>36.6</v>
      </c>
      <c r="F196" s="8">
        <f>FARM_DATA[[#This Row],[Fertilizer]]</f>
        <v>62.35</v>
      </c>
      <c r="G196" s="8">
        <f>FARM_DATA[[#This Row],[Labor]]</f>
        <v>132.84</v>
      </c>
      <c r="H196" s="8">
        <f>FARM_DATA[[#This Row],[Household]]</f>
        <v>125.9</v>
      </c>
      <c r="I196" s="8">
        <f>FARM_DATA[[#This Row],[Medical]]</f>
        <v>31.94</v>
      </c>
      <c r="J196" s="8">
        <f>FARM_DATA[[#This Row],[Misc]]</f>
        <v>26.75</v>
      </c>
      <c r="K196" s="8">
        <f>FARM_DATA[[#This Row],[Total_Expenses]]</f>
        <v>478.11</v>
      </c>
      <c r="L196" s="30">
        <f>FARM_DATA[[#This Row],[Savings]]</f>
        <v>-172.01</v>
      </c>
      <c r="M196" s="5" t="str">
        <f>TEXT(CLEAN_TABLE[[#This Row],[Date]], "mmm")</f>
        <v>Oct</v>
      </c>
      <c r="N196" s="5">
        <f>YEAR(CLEAN_TABLE[[#This Row],[Date]])</f>
        <v>2024</v>
      </c>
      <c r="O196" s="5">
        <f>IF(CLEAN_TABLE[[#This Row],[Farmer_Type]]="Smart",0,1)</f>
        <v>1</v>
      </c>
      <c r="P196" s="7">
        <f>IFERROR(CLEAN_TABLE[[#This Row],[Savings]]/CLEAN_TABLE[[#This Row],[Income]],0)</f>
        <v>-0.56194054230643575</v>
      </c>
      <c r="Q196" s="7">
        <f>IF(CLEAN_TABLE[[#This Row],[Farmer_Type]]="Smart", 1 - (CLEAN_TABLE[[#This Row],[Irrigation]] / 70), 1 - (CLEAN_TABLE[[#This Row],[Irrigation]] / 150))</f>
        <v>0.58846666666666669</v>
      </c>
      <c r="R1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784.21000000000015</v>
      </c>
    </row>
    <row r="197" spans="1:19">
      <c r="A197" s="6">
        <f>FARM_DATA[[#This Row],[Date]]</f>
        <v>45578</v>
      </c>
      <c r="B197" s="5" t="str">
        <f>FARM_DATA[[#This Row],[Farmer_Type]]</f>
        <v>Smart</v>
      </c>
      <c r="C197" s="8">
        <f>FARM_DATA[[#This Row],[Income]]</f>
        <v>945.73</v>
      </c>
      <c r="D197" s="8">
        <f>FARM_DATA[[#This Row],[Irrigation]]</f>
        <v>11.26</v>
      </c>
      <c r="E197" s="8">
        <f>FARM_DATA[[#This Row],[Seeds]]</f>
        <v>11.52</v>
      </c>
      <c r="F197" s="8">
        <f>FARM_DATA[[#This Row],[Fertilizer]]</f>
        <v>106.52</v>
      </c>
      <c r="G197" s="8">
        <f>FARM_DATA[[#This Row],[Labor]]</f>
        <v>109.74</v>
      </c>
      <c r="H197" s="8">
        <f>FARM_DATA[[#This Row],[Household]]</f>
        <v>160.15</v>
      </c>
      <c r="I197" s="8">
        <f>FARM_DATA[[#This Row],[Medical]]</f>
        <v>22.6</v>
      </c>
      <c r="J197" s="8">
        <f>FARM_DATA[[#This Row],[Misc]]</f>
        <v>47.74</v>
      </c>
      <c r="K197" s="8">
        <f>FARM_DATA[[#This Row],[Total_Expenses]]</f>
        <v>469.53</v>
      </c>
      <c r="L197" s="30">
        <f>FARM_DATA[[#This Row],[Savings]]</f>
        <v>476.19</v>
      </c>
      <c r="M197" s="5" t="str">
        <f>TEXT(CLEAN_TABLE[[#This Row],[Date]], "mmm")</f>
        <v>Oct</v>
      </c>
      <c r="N197" s="5">
        <f>YEAR(CLEAN_TABLE[[#This Row],[Date]])</f>
        <v>2024</v>
      </c>
      <c r="O197" s="5">
        <f>IF(CLEAN_TABLE[[#This Row],[Farmer_Type]]="Smart",0,1)</f>
        <v>0</v>
      </c>
      <c r="P197" s="7">
        <f>IFERROR(CLEAN_TABLE[[#This Row],[Savings]]/CLEAN_TABLE[[#This Row],[Income]],0)</f>
        <v>0.5035158026075095</v>
      </c>
      <c r="Q197" s="7">
        <f>IF(CLEAN_TABLE[[#This Row],[Farmer_Type]]="Smart", 1 - (CLEAN_TABLE[[#This Row],[Irrigation]] / 70), 1 - (CLEAN_TABLE[[#This Row],[Irrigation]] / 150))</f>
        <v>0.83914285714285719</v>
      </c>
      <c r="R1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1415.26</v>
      </c>
    </row>
    <row r="198" spans="1:19">
      <c r="A198" s="6">
        <f>FARM_DATA[[#This Row],[Date]]</f>
        <v>45579</v>
      </c>
      <c r="B198" s="5" t="str">
        <f>FARM_DATA[[#This Row],[Farmer_Type]]</f>
        <v>Traditional</v>
      </c>
      <c r="C198" s="8">
        <f>FARM_DATA[[#This Row],[Income]]</f>
        <v>271.87</v>
      </c>
      <c r="D198" s="8">
        <f>FARM_DATA[[#This Row],[Irrigation]]</f>
        <v>64.709999999999994</v>
      </c>
      <c r="E198" s="8">
        <f>FARM_DATA[[#This Row],[Seeds]]</f>
        <v>51.91</v>
      </c>
      <c r="F198" s="8">
        <f>FARM_DATA[[#This Row],[Fertilizer]]</f>
        <v>29.91</v>
      </c>
      <c r="G198" s="8">
        <f>FARM_DATA[[#This Row],[Labor]]</f>
        <v>117.34</v>
      </c>
      <c r="H198" s="8">
        <f>FARM_DATA[[#This Row],[Household]]</f>
        <v>109.3</v>
      </c>
      <c r="I198" s="8">
        <f>FARM_DATA[[#This Row],[Medical]]</f>
        <v>23.73</v>
      </c>
      <c r="J198" s="8">
        <f>FARM_DATA[[#This Row],[Misc]]</f>
        <v>29.57</v>
      </c>
      <c r="K198" s="8">
        <f>FARM_DATA[[#This Row],[Total_Expenses]]</f>
        <v>426.48</v>
      </c>
      <c r="L198" s="30">
        <f>FARM_DATA[[#This Row],[Savings]]</f>
        <v>-154.61000000000001</v>
      </c>
      <c r="M198" s="5" t="str">
        <f>TEXT(CLEAN_TABLE[[#This Row],[Date]], "mmm")</f>
        <v>Oct</v>
      </c>
      <c r="N198" s="5">
        <f>YEAR(CLEAN_TABLE[[#This Row],[Date]])</f>
        <v>2024</v>
      </c>
      <c r="O198" s="5">
        <f>IF(CLEAN_TABLE[[#This Row],[Farmer_Type]]="Smart",0,1)</f>
        <v>1</v>
      </c>
      <c r="P198" s="7">
        <f>IFERROR(CLEAN_TABLE[[#This Row],[Savings]]/CLEAN_TABLE[[#This Row],[Income]],0)</f>
        <v>-0.5686909184536727</v>
      </c>
      <c r="Q198" s="7">
        <f>IF(CLEAN_TABLE[[#This Row],[Farmer_Type]]="Smart", 1 - (CLEAN_TABLE[[#This Row],[Irrigation]] / 70), 1 - (CLEAN_TABLE[[#This Row],[Irrigation]] / 150))</f>
        <v>0.56859999999999999</v>
      </c>
      <c r="R1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698.34</v>
      </c>
    </row>
    <row r="199" spans="1:19">
      <c r="A199" s="6">
        <f>FARM_DATA[[#This Row],[Date]]</f>
        <v>45580</v>
      </c>
      <c r="B199" s="5" t="str">
        <f>FARM_DATA[[#This Row],[Farmer_Type]]</f>
        <v>Smart</v>
      </c>
      <c r="C199" s="8">
        <f>FARM_DATA[[#This Row],[Income]]</f>
        <v>626.97</v>
      </c>
      <c r="D199" s="8">
        <f>FARM_DATA[[#This Row],[Irrigation]]</f>
        <v>20.82</v>
      </c>
      <c r="E199" s="8">
        <f>FARM_DATA[[#This Row],[Seeds]]</f>
        <v>45.31</v>
      </c>
      <c r="F199" s="8">
        <f>FARM_DATA[[#This Row],[Fertilizer]]</f>
        <v>55.69</v>
      </c>
      <c r="G199" s="8">
        <f>FARM_DATA[[#This Row],[Labor]]</f>
        <v>99.01</v>
      </c>
      <c r="H199" s="8">
        <f>FARM_DATA[[#This Row],[Household]]</f>
        <v>210.2</v>
      </c>
      <c r="I199" s="8">
        <f>FARM_DATA[[#This Row],[Medical]]</f>
        <v>12.86</v>
      </c>
      <c r="J199" s="8">
        <f>FARM_DATA[[#This Row],[Misc]]</f>
        <v>40.93</v>
      </c>
      <c r="K199" s="8">
        <f>FARM_DATA[[#This Row],[Total_Expenses]]</f>
        <v>484.82</v>
      </c>
      <c r="L199" s="30">
        <f>FARM_DATA[[#This Row],[Savings]]</f>
        <v>142.15</v>
      </c>
      <c r="M199" s="5" t="str">
        <f>TEXT(CLEAN_TABLE[[#This Row],[Date]], "mmm")</f>
        <v>Oct</v>
      </c>
      <c r="N199" s="5">
        <f>YEAR(CLEAN_TABLE[[#This Row],[Date]])</f>
        <v>2024</v>
      </c>
      <c r="O199" s="5">
        <f>IF(CLEAN_TABLE[[#This Row],[Farmer_Type]]="Smart",0,1)</f>
        <v>0</v>
      </c>
      <c r="P199" s="7">
        <f>IFERROR(CLEAN_TABLE[[#This Row],[Savings]]/CLEAN_TABLE[[#This Row],[Income]],0)</f>
        <v>0.22672536166004753</v>
      </c>
      <c r="Q199" s="7">
        <f>IF(CLEAN_TABLE[[#This Row],[Farmer_Type]]="Smart", 1 - (CLEAN_TABLE[[#This Row],[Irrigation]] / 70), 1 - (CLEAN_TABLE[[#This Row],[Irrigation]] / 150))</f>
        <v>0.70257142857142862</v>
      </c>
      <c r="R1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1111.7900000000002</v>
      </c>
    </row>
    <row r="200" spans="1:19">
      <c r="A200" s="6">
        <f>FARM_DATA[[#This Row],[Date]]</f>
        <v>45581</v>
      </c>
      <c r="B200" s="5" t="str">
        <f>FARM_DATA[[#This Row],[Farmer_Type]]</f>
        <v>Traditional</v>
      </c>
      <c r="C200" s="8">
        <f>FARM_DATA[[#This Row],[Income]]</f>
        <v>371.44</v>
      </c>
      <c r="D200" s="8">
        <f>FARM_DATA[[#This Row],[Irrigation]]</f>
        <v>76.930000000000007</v>
      </c>
      <c r="E200" s="8">
        <f>FARM_DATA[[#This Row],[Seeds]]</f>
        <v>42.65</v>
      </c>
      <c r="F200" s="8">
        <f>FARM_DATA[[#This Row],[Fertilizer]]</f>
        <v>47.66</v>
      </c>
      <c r="G200" s="8">
        <f>FARM_DATA[[#This Row],[Labor]]</f>
        <v>89.31</v>
      </c>
      <c r="H200" s="8">
        <f>FARM_DATA[[#This Row],[Household]]</f>
        <v>152.58000000000001</v>
      </c>
      <c r="I200" s="8">
        <f>FARM_DATA[[#This Row],[Medical]]</f>
        <v>11.42</v>
      </c>
      <c r="J200" s="8">
        <f>FARM_DATA[[#This Row],[Misc]]</f>
        <v>-5.0599999999999996</v>
      </c>
      <c r="K200" s="8">
        <f>FARM_DATA[[#This Row],[Total_Expenses]]</f>
        <v>415.5</v>
      </c>
      <c r="L200" s="30">
        <f>FARM_DATA[[#This Row],[Savings]]</f>
        <v>-44.06</v>
      </c>
      <c r="M200" s="5" t="str">
        <f>TEXT(CLEAN_TABLE[[#This Row],[Date]], "mmm")</f>
        <v>Oct</v>
      </c>
      <c r="N200" s="5">
        <f>YEAR(CLEAN_TABLE[[#This Row],[Date]])</f>
        <v>2024</v>
      </c>
      <c r="O200" s="5">
        <f>IF(CLEAN_TABLE[[#This Row],[Farmer_Type]]="Smart",0,1)</f>
        <v>1</v>
      </c>
      <c r="P200" s="7">
        <f>IFERROR(CLEAN_TABLE[[#This Row],[Savings]]/CLEAN_TABLE[[#This Row],[Income]],0)</f>
        <v>-0.11861942709455095</v>
      </c>
      <c r="Q200" s="7">
        <f>IF(CLEAN_TABLE[[#This Row],[Farmer_Type]]="Smart", 1 - (CLEAN_TABLE[[#This Row],[Irrigation]] / 70), 1 - (CLEAN_TABLE[[#This Row],[Irrigation]] / 150))</f>
        <v>0.48713333333333331</v>
      </c>
      <c r="R2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786.93000000000006</v>
      </c>
    </row>
    <row r="201" spans="1:19">
      <c r="A201" s="6">
        <f>FARM_DATA[[#This Row],[Date]]</f>
        <v>45582</v>
      </c>
      <c r="B201" s="5" t="str">
        <f>FARM_DATA[[#This Row],[Farmer_Type]]</f>
        <v>Traditional</v>
      </c>
      <c r="C201" s="8">
        <f>FARM_DATA[[#This Row],[Income]]</f>
        <v>371.83</v>
      </c>
      <c r="D201" s="8">
        <f>FARM_DATA[[#This Row],[Irrigation]]</f>
        <v>79.040000000000006</v>
      </c>
      <c r="E201" s="8">
        <f>FARM_DATA[[#This Row],[Seeds]]</f>
        <v>4.5599999999999996</v>
      </c>
      <c r="F201" s="8">
        <f>FARM_DATA[[#This Row],[Fertilizer]]</f>
        <v>34.81</v>
      </c>
      <c r="G201" s="8">
        <f>FARM_DATA[[#This Row],[Labor]]</f>
        <v>125.48</v>
      </c>
      <c r="H201" s="8">
        <f>FARM_DATA[[#This Row],[Household]]</f>
        <v>211.72</v>
      </c>
      <c r="I201" s="8">
        <f>FARM_DATA[[#This Row],[Medical]]</f>
        <v>20.170000000000002</v>
      </c>
      <c r="J201" s="8">
        <f>FARM_DATA[[#This Row],[Misc]]</f>
        <v>21.26</v>
      </c>
      <c r="K201" s="8">
        <f>FARM_DATA[[#This Row],[Total_Expenses]]</f>
        <v>497.03</v>
      </c>
      <c r="L201" s="30">
        <f>FARM_DATA[[#This Row],[Savings]]</f>
        <v>-125.21</v>
      </c>
      <c r="M201" s="5" t="str">
        <f>TEXT(CLEAN_TABLE[[#This Row],[Date]], "mmm")</f>
        <v>Oct</v>
      </c>
      <c r="N201" s="5">
        <f>YEAR(CLEAN_TABLE[[#This Row],[Date]])</f>
        <v>2024</v>
      </c>
      <c r="O201" s="5">
        <f>IF(CLEAN_TABLE[[#This Row],[Farmer_Type]]="Smart",0,1)</f>
        <v>1</v>
      </c>
      <c r="P201" s="7">
        <f>IFERROR(CLEAN_TABLE[[#This Row],[Savings]]/CLEAN_TABLE[[#This Row],[Income]],0)</f>
        <v>-0.33673990802248338</v>
      </c>
      <c r="Q201" s="7">
        <f>IF(CLEAN_TABLE[[#This Row],[Farmer_Type]]="Smart", 1 - (CLEAN_TABLE[[#This Row],[Irrigation]] / 70), 1 - (CLEAN_TABLE[[#This Row],[Irrigation]] / 150))</f>
        <v>0.47306666666666664</v>
      </c>
      <c r="R2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868.87</v>
      </c>
    </row>
    <row r="202" spans="1:19">
      <c r="A202" s="6">
        <f>FARM_DATA[[#This Row],[Date]]</f>
        <v>45583</v>
      </c>
      <c r="B202" s="5" t="str">
        <f>FARM_DATA[[#This Row],[Farmer_Type]]</f>
        <v>Smart</v>
      </c>
      <c r="C202" s="8">
        <f>FARM_DATA[[#This Row],[Income]]</f>
        <v>913.42</v>
      </c>
      <c r="D202" s="8">
        <f>FARM_DATA[[#This Row],[Irrigation]]</f>
        <v>21.87</v>
      </c>
      <c r="E202" s="8">
        <f>FARM_DATA[[#This Row],[Seeds]]</f>
        <v>47.08</v>
      </c>
      <c r="F202" s="8">
        <f>FARM_DATA[[#This Row],[Fertilizer]]</f>
        <v>56.02</v>
      </c>
      <c r="G202" s="8">
        <f>FARM_DATA[[#This Row],[Labor]]</f>
        <v>85.35</v>
      </c>
      <c r="H202" s="8">
        <f>FARM_DATA[[#This Row],[Household]]</f>
        <v>136.63</v>
      </c>
      <c r="I202" s="8">
        <f>FARM_DATA[[#This Row],[Medical]]</f>
        <v>23.1</v>
      </c>
      <c r="J202" s="8">
        <f>FARM_DATA[[#This Row],[Misc]]</f>
        <v>64.37</v>
      </c>
      <c r="K202" s="8">
        <f>FARM_DATA[[#This Row],[Total_Expenses]]</f>
        <v>434.43</v>
      </c>
      <c r="L202" s="30">
        <f>FARM_DATA[[#This Row],[Savings]]</f>
        <v>478.99</v>
      </c>
      <c r="M202" s="5" t="str">
        <f>TEXT(CLEAN_TABLE[[#This Row],[Date]], "mmm")</f>
        <v>Oct</v>
      </c>
      <c r="N202" s="5">
        <f>YEAR(CLEAN_TABLE[[#This Row],[Date]])</f>
        <v>2024</v>
      </c>
      <c r="O202" s="5">
        <f>IF(CLEAN_TABLE[[#This Row],[Farmer_Type]]="Smart",0,1)</f>
        <v>0</v>
      </c>
      <c r="P202" s="7">
        <f>IFERROR(CLEAN_TABLE[[#This Row],[Savings]]/CLEAN_TABLE[[#This Row],[Income]],0)</f>
        <v>0.52439184602920896</v>
      </c>
      <c r="Q202" s="7">
        <f>IF(CLEAN_TABLE[[#This Row],[Farmer_Type]]="Smart", 1 - (CLEAN_TABLE[[#This Row],[Irrigation]] / 70), 1 - (CLEAN_TABLE[[#This Row],[Irrigation]] / 150))</f>
        <v>0.6875714285714285</v>
      </c>
      <c r="R2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1347.8399999999997</v>
      </c>
    </row>
    <row r="203" spans="1:19">
      <c r="A203" s="6">
        <f>FARM_DATA[[#This Row],[Date]]</f>
        <v>45584</v>
      </c>
      <c r="B203" s="5" t="str">
        <f>FARM_DATA[[#This Row],[Farmer_Type]]</f>
        <v>Traditional</v>
      </c>
      <c r="C203" s="8">
        <f>FARM_DATA[[#This Row],[Income]]</f>
        <v>366.15</v>
      </c>
      <c r="D203" s="8">
        <f>FARM_DATA[[#This Row],[Irrigation]]</f>
        <v>67.48</v>
      </c>
      <c r="E203" s="8">
        <f>FARM_DATA[[#This Row],[Seeds]]</f>
        <v>35.619999999999997</v>
      </c>
      <c r="F203" s="8">
        <f>FARM_DATA[[#This Row],[Fertilizer]]</f>
        <v>23.74</v>
      </c>
      <c r="G203" s="8">
        <f>FARM_DATA[[#This Row],[Labor]]</f>
        <v>132.08000000000001</v>
      </c>
      <c r="H203" s="8">
        <f>FARM_DATA[[#This Row],[Household]]</f>
        <v>147.66</v>
      </c>
      <c r="I203" s="8">
        <f>FARM_DATA[[#This Row],[Medical]]</f>
        <v>18.559999999999999</v>
      </c>
      <c r="J203" s="8">
        <f>FARM_DATA[[#This Row],[Misc]]</f>
        <v>68.319999999999993</v>
      </c>
      <c r="K203" s="8">
        <f>FARM_DATA[[#This Row],[Total_Expenses]]</f>
        <v>493.45</v>
      </c>
      <c r="L203" s="30">
        <f>FARM_DATA[[#This Row],[Savings]]</f>
        <v>-127.3</v>
      </c>
      <c r="M203" s="5" t="str">
        <f>TEXT(CLEAN_TABLE[[#This Row],[Date]], "mmm")</f>
        <v>Oct</v>
      </c>
      <c r="N203" s="5">
        <f>YEAR(CLEAN_TABLE[[#This Row],[Date]])</f>
        <v>2024</v>
      </c>
      <c r="O203" s="5">
        <f>IF(CLEAN_TABLE[[#This Row],[Farmer_Type]]="Smart",0,1)</f>
        <v>1</v>
      </c>
      <c r="P203" s="7">
        <f>IFERROR(CLEAN_TABLE[[#This Row],[Savings]]/CLEAN_TABLE[[#This Row],[Income]],0)</f>
        <v>-0.34767171924074836</v>
      </c>
      <c r="Q203" s="7">
        <f>IF(CLEAN_TABLE[[#This Row],[Farmer_Type]]="Smart", 1 - (CLEAN_TABLE[[#This Row],[Irrigation]] / 70), 1 - (CLEAN_TABLE[[#This Row],[Irrigation]] / 150))</f>
        <v>0.55013333333333336</v>
      </c>
      <c r="R2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859.6099999999999</v>
      </c>
    </row>
    <row r="204" spans="1:19">
      <c r="A204" s="6">
        <f>FARM_DATA[[#This Row],[Date]]</f>
        <v>45585</v>
      </c>
      <c r="B204" s="5" t="str">
        <f>FARM_DATA[[#This Row],[Farmer_Type]]</f>
        <v>Traditional</v>
      </c>
      <c r="C204" s="8">
        <f>FARM_DATA[[#This Row],[Income]]</f>
        <v>364.94</v>
      </c>
      <c r="D204" s="8">
        <f>FARM_DATA[[#This Row],[Irrigation]]</f>
        <v>62.48</v>
      </c>
      <c r="E204" s="8">
        <f>FARM_DATA[[#This Row],[Seeds]]</f>
        <v>33.6</v>
      </c>
      <c r="F204" s="8">
        <f>FARM_DATA[[#This Row],[Fertilizer]]</f>
        <v>77.97</v>
      </c>
      <c r="G204" s="8">
        <f>FARM_DATA[[#This Row],[Labor]]</f>
        <v>112.83</v>
      </c>
      <c r="H204" s="8">
        <f>FARM_DATA[[#This Row],[Household]]</f>
        <v>106.85</v>
      </c>
      <c r="I204" s="8">
        <f>FARM_DATA[[#This Row],[Medical]]</f>
        <v>27.35</v>
      </c>
      <c r="J204" s="8">
        <f>FARM_DATA[[#This Row],[Misc]]</f>
        <v>21.98</v>
      </c>
      <c r="K204" s="8">
        <f>FARM_DATA[[#This Row],[Total_Expenses]]</f>
        <v>443.08</v>
      </c>
      <c r="L204" s="30">
        <f>FARM_DATA[[#This Row],[Savings]]</f>
        <v>-78.14</v>
      </c>
      <c r="M204" s="5" t="str">
        <f>TEXT(CLEAN_TABLE[[#This Row],[Date]], "mmm")</f>
        <v>Oct</v>
      </c>
      <c r="N204" s="5">
        <f>YEAR(CLEAN_TABLE[[#This Row],[Date]])</f>
        <v>2024</v>
      </c>
      <c r="O204" s="5">
        <f>IF(CLEAN_TABLE[[#This Row],[Farmer_Type]]="Smart",0,1)</f>
        <v>1</v>
      </c>
      <c r="P204" s="7">
        <f>IFERROR(CLEAN_TABLE[[#This Row],[Savings]]/CLEAN_TABLE[[#This Row],[Income]],0)</f>
        <v>-0.21411738915986189</v>
      </c>
      <c r="Q204" s="7">
        <f>IF(CLEAN_TABLE[[#This Row],[Farmer_Type]]="Smart", 1 - (CLEAN_TABLE[[#This Row],[Irrigation]] / 70), 1 - (CLEAN_TABLE[[#This Row],[Irrigation]] / 150))</f>
        <v>0.58346666666666669</v>
      </c>
      <c r="R2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808.00000000000011</v>
      </c>
    </row>
    <row r="205" spans="1:19">
      <c r="A205" s="6">
        <f>FARM_DATA[[#This Row],[Date]]</f>
        <v>45586</v>
      </c>
      <c r="B205" s="5" t="str">
        <f>FARM_DATA[[#This Row],[Farmer_Type]]</f>
        <v>Traditional</v>
      </c>
      <c r="C205" s="8">
        <f>FARM_DATA[[#This Row],[Income]]</f>
        <v>443.66</v>
      </c>
      <c r="D205" s="8">
        <f>FARM_DATA[[#This Row],[Irrigation]]</f>
        <v>80.8</v>
      </c>
      <c r="E205" s="8">
        <f>FARM_DATA[[#This Row],[Seeds]]</f>
        <v>33.29</v>
      </c>
      <c r="F205" s="8">
        <f>FARM_DATA[[#This Row],[Fertilizer]]</f>
        <v>80.62</v>
      </c>
      <c r="G205" s="8">
        <f>FARM_DATA[[#This Row],[Labor]]</f>
        <v>111.7</v>
      </c>
      <c r="H205" s="8">
        <f>FARM_DATA[[#This Row],[Household]]</f>
        <v>175.58</v>
      </c>
      <c r="I205" s="8">
        <f>FARM_DATA[[#This Row],[Medical]]</f>
        <v>23.88</v>
      </c>
      <c r="J205" s="8">
        <f>FARM_DATA[[#This Row],[Misc]]</f>
        <v>19.84</v>
      </c>
      <c r="K205" s="8">
        <f>FARM_DATA[[#This Row],[Total_Expenses]]</f>
        <v>525.71</v>
      </c>
      <c r="L205" s="30">
        <f>FARM_DATA[[#This Row],[Savings]]</f>
        <v>-82.05</v>
      </c>
      <c r="M205" s="5" t="str">
        <f>TEXT(CLEAN_TABLE[[#This Row],[Date]], "mmm")</f>
        <v>Oct</v>
      </c>
      <c r="N205" s="5">
        <f>YEAR(CLEAN_TABLE[[#This Row],[Date]])</f>
        <v>2024</v>
      </c>
      <c r="O205" s="5">
        <f>IF(CLEAN_TABLE[[#This Row],[Farmer_Type]]="Smart",0,1)</f>
        <v>1</v>
      </c>
      <c r="P205" s="7">
        <f>IFERROR(CLEAN_TABLE[[#This Row],[Savings]]/CLEAN_TABLE[[#This Row],[Income]],0)</f>
        <v>-0.18493891718883829</v>
      </c>
      <c r="Q205" s="7">
        <f>IF(CLEAN_TABLE[[#This Row],[Farmer_Type]]="Smart", 1 - (CLEAN_TABLE[[#This Row],[Irrigation]] / 70), 1 - (CLEAN_TABLE[[#This Row],[Irrigation]] / 150))</f>
        <v>0.46133333333333337</v>
      </c>
      <c r="R2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969.37000000000012</v>
      </c>
    </row>
    <row r="206" spans="1:19">
      <c r="A206" s="6">
        <f>FARM_DATA[[#This Row],[Date]]</f>
        <v>45587</v>
      </c>
      <c r="B206" s="5" t="str">
        <f>FARM_DATA[[#This Row],[Farmer_Type]]</f>
        <v>Smart</v>
      </c>
      <c r="C206" s="8">
        <f>FARM_DATA[[#This Row],[Income]]</f>
        <v>821.29</v>
      </c>
      <c r="D206" s="8">
        <f>FARM_DATA[[#This Row],[Irrigation]]</f>
        <v>20.149999999999999</v>
      </c>
      <c r="E206" s="8">
        <f>FARM_DATA[[#This Row],[Seeds]]</f>
        <v>53.3</v>
      </c>
      <c r="F206" s="8">
        <f>FARM_DATA[[#This Row],[Fertilizer]]</f>
        <v>67.89</v>
      </c>
      <c r="G206" s="8">
        <f>FARM_DATA[[#This Row],[Labor]]</f>
        <v>75.900000000000006</v>
      </c>
      <c r="H206" s="8">
        <f>FARM_DATA[[#This Row],[Household]]</f>
        <v>184.83</v>
      </c>
      <c r="I206" s="8">
        <f>FARM_DATA[[#This Row],[Medical]]</f>
        <v>40.56</v>
      </c>
      <c r="J206" s="8">
        <f>FARM_DATA[[#This Row],[Misc]]</f>
        <v>23.99</v>
      </c>
      <c r="K206" s="8">
        <f>FARM_DATA[[#This Row],[Total_Expenses]]</f>
        <v>466.62</v>
      </c>
      <c r="L206" s="30">
        <f>FARM_DATA[[#This Row],[Savings]]</f>
        <v>354.67</v>
      </c>
      <c r="M206" s="5" t="str">
        <f>TEXT(CLEAN_TABLE[[#This Row],[Date]], "mmm")</f>
        <v>Oct</v>
      </c>
      <c r="N206" s="5">
        <f>YEAR(CLEAN_TABLE[[#This Row],[Date]])</f>
        <v>2024</v>
      </c>
      <c r="O206" s="5">
        <f>IF(CLEAN_TABLE[[#This Row],[Farmer_Type]]="Smart",0,1)</f>
        <v>0</v>
      </c>
      <c r="P206" s="7">
        <f>IFERROR(CLEAN_TABLE[[#This Row],[Savings]]/CLEAN_TABLE[[#This Row],[Income]],0)</f>
        <v>0.43184502429105437</v>
      </c>
      <c r="Q206" s="7">
        <f>IF(CLEAN_TABLE[[#This Row],[Farmer_Type]]="Smart", 1 - (CLEAN_TABLE[[#This Row],[Irrigation]] / 70), 1 - (CLEAN_TABLE[[#This Row],[Irrigation]] / 150))</f>
        <v>0.71214285714285719</v>
      </c>
      <c r="R2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1287.9099999999999</v>
      </c>
    </row>
    <row r="207" spans="1:19">
      <c r="A207" s="6">
        <f>FARM_DATA[[#This Row],[Date]]</f>
        <v>45588</v>
      </c>
      <c r="B207" s="5" t="str">
        <f>FARM_DATA[[#This Row],[Farmer_Type]]</f>
        <v>Smart</v>
      </c>
      <c r="C207" s="8">
        <f>FARM_DATA[[#This Row],[Income]]</f>
        <v>954.84</v>
      </c>
      <c r="D207" s="8">
        <f>FARM_DATA[[#This Row],[Irrigation]]</f>
        <v>22.06</v>
      </c>
      <c r="E207" s="8">
        <f>FARM_DATA[[#This Row],[Seeds]]</f>
        <v>58.41</v>
      </c>
      <c r="F207" s="8">
        <f>FARM_DATA[[#This Row],[Fertilizer]]</f>
        <v>93.57</v>
      </c>
      <c r="G207" s="8">
        <f>FARM_DATA[[#This Row],[Labor]]</f>
        <v>73.75</v>
      </c>
      <c r="H207" s="8">
        <f>FARM_DATA[[#This Row],[Household]]</f>
        <v>184.99</v>
      </c>
      <c r="I207" s="8">
        <f>FARM_DATA[[#This Row],[Medical]]</f>
        <v>20.32</v>
      </c>
      <c r="J207" s="8">
        <f>FARM_DATA[[#This Row],[Misc]]</f>
        <v>54.79</v>
      </c>
      <c r="K207" s="8">
        <f>FARM_DATA[[#This Row],[Total_Expenses]]</f>
        <v>507.88</v>
      </c>
      <c r="L207" s="30">
        <f>FARM_DATA[[#This Row],[Savings]]</f>
        <v>446.96</v>
      </c>
      <c r="M207" s="5" t="str">
        <f>TEXT(CLEAN_TABLE[[#This Row],[Date]], "mmm")</f>
        <v>Oct</v>
      </c>
      <c r="N207" s="5">
        <f>YEAR(CLEAN_TABLE[[#This Row],[Date]])</f>
        <v>2024</v>
      </c>
      <c r="O207" s="5">
        <f>IF(CLEAN_TABLE[[#This Row],[Farmer_Type]]="Smart",0,1)</f>
        <v>0</v>
      </c>
      <c r="P207" s="7">
        <f>IFERROR(CLEAN_TABLE[[#This Row],[Savings]]/CLEAN_TABLE[[#This Row],[Income]],0)</f>
        <v>0.46809936743328723</v>
      </c>
      <c r="Q207" s="7">
        <f>IF(CLEAN_TABLE[[#This Row],[Farmer_Type]]="Smart", 1 - (CLEAN_TABLE[[#This Row],[Irrigation]] / 70), 1 - (CLEAN_TABLE[[#This Row],[Irrigation]] / 150))</f>
        <v>0.68485714285714283</v>
      </c>
      <c r="R2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1462.7299999999998</v>
      </c>
    </row>
    <row r="208" spans="1:19">
      <c r="A208" s="6">
        <f>FARM_DATA[[#This Row],[Date]]</f>
        <v>45589</v>
      </c>
      <c r="B208" s="5" t="str">
        <f>FARM_DATA[[#This Row],[Farmer_Type]]</f>
        <v>Smart</v>
      </c>
      <c r="C208" s="8">
        <f>FARM_DATA[[#This Row],[Income]]</f>
        <v>1187.48</v>
      </c>
      <c r="D208" s="8">
        <f>FARM_DATA[[#This Row],[Irrigation]]</f>
        <v>27.95</v>
      </c>
      <c r="E208" s="8">
        <f>FARM_DATA[[#This Row],[Seeds]]</f>
        <v>71.59</v>
      </c>
      <c r="F208" s="8">
        <f>FARM_DATA[[#This Row],[Fertilizer]]</f>
        <v>89.77</v>
      </c>
      <c r="G208" s="8">
        <f>FARM_DATA[[#This Row],[Labor]]</f>
        <v>98.89</v>
      </c>
      <c r="H208" s="8">
        <f>FARM_DATA[[#This Row],[Household]]</f>
        <v>157.63999999999999</v>
      </c>
      <c r="I208" s="8">
        <f>FARM_DATA[[#This Row],[Medical]]</f>
        <v>25.05</v>
      </c>
      <c r="J208" s="8">
        <f>FARM_DATA[[#This Row],[Misc]]</f>
        <v>35.57</v>
      </c>
      <c r="K208" s="8">
        <f>FARM_DATA[[#This Row],[Total_Expenses]]</f>
        <v>506.46</v>
      </c>
      <c r="L208" s="30">
        <f>FARM_DATA[[#This Row],[Savings]]</f>
        <v>681.02</v>
      </c>
      <c r="M208" s="5" t="str">
        <f>TEXT(CLEAN_TABLE[[#This Row],[Date]], "mmm")</f>
        <v>Oct</v>
      </c>
      <c r="N208" s="5">
        <f>YEAR(CLEAN_TABLE[[#This Row],[Date]])</f>
        <v>2024</v>
      </c>
      <c r="O208" s="5">
        <f>IF(CLEAN_TABLE[[#This Row],[Farmer_Type]]="Smart",0,1)</f>
        <v>0</v>
      </c>
      <c r="P208" s="7">
        <f>IFERROR(CLEAN_TABLE[[#This Row],[Savings]]/CLEAN_TABLE[[#This Row],[Income]],0)</f>
        <v>0.57350018526627811</v>
      </c>
      <c r="Q208" s="7">
        <f>IF(CLEAN_TABLE[[#This Row],[Farmer_Type]]="Smart", 1 - (CLEAN_TABLE[[#This Row],[Irrigation]] / 70), 1 - (CLEAN_TABLE[[#This Row],[Irrigation]] / 150))</f>
        <v>0.60071428571428576</v>
      </c>
      <c r="R2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1693.94</v>
      </c>
    </row>
    <row r="209" spans="1:19">
      <c r="A209" s="6">
        <f>FARM_DATA[[#This Row],[Date]]</f>
        <v>45590</v>
      </c>
      <c r="B209" s="5" t="str">
        <f>FARM_DATA[[#This Row],[Farmer_Type]]</f>
        <v>Smart</v>
      </c>
      <c r="C209" s="8">
        <f>FARM_DATA[[#This Row],[Income]]</f>
        <v>983.69</v>
      </c>
      <c r="D209" s="8">
        <f>FARM_DATA[[#This Row],[Irrigation]]</f>
        <v>21.59</v>
      </c>
      <c r="E209" s="8">
        <f>FARM_DATA[[#This Row],[Seeds]]</f>
        <v>39.869999999999997</v>
      </c>
      <c r="F209" s="8">
        <f>FARM_DATA[[#This Row],[Fertilizer]]</f>
        <v>114.2</v>
      </c>
      <c r="G209" s="8">
        <f>FARM_DATA[[#This Row],[Labor]]</f>
        <v>121.34</v>
      </c>
      <c r="H209" s="8">
        <f>FARM_DATA[[#This Row],[Household]]</f>
        <v>165.87</v>
      </c>
      <c r="I209" s="8">
        <f>FARM_DATA[[#This Row],[Medical]]</f>
        <v>2.9</v>
      </c>
      <c r="J209" s="8">
        <f>FARM_DATA[[#This Row],[Misc]]</f>
        <v>30.88</v>
      </c>
      <c r="K209" s="8">
        <f>FARM_DATA[[#This Row],[Total_Expenses]]</f>
        <v>496.65</v>
      </c>
      <c r="L209" s="30">
        <f>FARM_DATA[[#This Row],[Savings]]</f>
        <v>487.04</v>
      </c>
      <c r="M209" s="5" t="str">
        <f>TEXT(CLEAN_TABLE[[#This Row],[Date]], "mmm")</f>
        <v>Oct</v>
      </c>
      <c r="N209" s="5">
        <f>YEAR(CLEAN_TABLE[[#This Row],[Date]])</f>
        <v>2024</v>
      </c>
      <c r="O209" s="5">
        <f>IF(CLEAN_TABLE[[#This Row],[Farmer_Type]]="Smart",0,1)</f>
        <v>0</v>
      </c>
      <c r="P209" s="7">
        <f>IFERROR(CLEAN_TABLE[[#This Row],[Savings]]/CLEAN_TABLE[[#This Row],[Income]],0)</f>
        <v>0.49511533104941596</v>
      </c>
      <c r="Q209" s="7">
        <f>IF(CLEAN_TABLE[[#This Row],[Farmer_Type]]="Smart", 1 - (CLEAN_TABLE[[#This Row],[Irrigation]] / 70), 1 - (CLEAN_TABLE[[#This Row],[Irrigation]] / 150))</f>
        <v>0.6915714285714285</v>
      </c>
      <c r="R2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1480.3400000000001</v>
      </c>
    </row>
    <row r="210" spans="1:19">
      <c r="A210" s="6">
        <f>FARM_DATA[[#This Row],[Date]]</f>
        <v>45591</v>
      </c>
      <c r="B210" s="5" t="str">
        <f>FARM_DATA[[#This Row],[Farmer_Type]]</f>
        <v>Smart</v>
      </c>
      <c r="C210" s="8">
        <f>FARM_DATA[[#This Row],[Income]]</f>
        <v>1209.4000000000001</v>
      </c>
      <c r="D210" s="8">
        <f>FARM_DATA[[#This Row],[Irrigation]]</f>
        <v>14.89</v>
      </c>
      <c r="E210" s="8">
        <f>FARM_DATA[[#This Row],[Seeds]]</f>
        <v>40.01</v>
      </c>
      <c r="F210" s="8">
        <f>FARM_DATA[[#This Row],[Fertilizer]]</f>
        <v>64.86</v>
      </c>
      <c r="G210" s="8">
        <f>FARM_DATA[[#This Row],[Labor]]</f>
        <v>111.81</v>
      </c>
      <c r="H210" s="8">
        <f>FARM_DATA[[#This Row],[Household]]</f>
        <v>189.14</v>
      </c>
      <c r="I210" s="8">
        <f>FARM_DATA[[#This Row],[Medical]]</f>
        <v>19.850000000000001</v>
      </c>
      <c r="J210" s="8">
        <f>FARM_DATA[[#This Row],[Misc]]</f>
        <v>34.5</v>
      </c>
      <c r="K210" s="8">
        <f>FARM_DATA[[#This Row],[Total_Expenses]]</f>
        <v>475.05</v>
      </c>
      <c r="L210" s="30">
        <f>FARM_DATA[[#This Row],[Savings]]</f>
        <v>734.35</v>
      </c>
      <c r="M210" s="5" t="str">
        <f>TEXT(CLEAN_TABLE[[#This Row],[Date]], "mmm")</f>
        <v>Oct</v>
      </c>
      <c r="N210" s="5">
        <f>YEAR(CLEAN_TABLE[[#This Row],[Date]])</f>
        <v>2024</v>
      </c>
      <c r="O210" s="5">
        <f>IF(CLEAN_TABLE[[#This Row],[Farmer_Type]]="Smart",0,1)</f>
        <v>0</v>
      </c>
      <c r="P210" s="7">
        <f>IFERROR(CLEAN_TABLE[[#This Row],[Savings]]/CLEAN_TABLE[[#This Row],[Income]],0)</f>
        <v>0.60720191830659831</v>
      </c>
      <c r="Q210" s="7">
        <f>IF(CLEAN_TABLE[[#This Row],[Farmer_Type]]="Smart", 1 - (CLEAN_TABLE[[#This Row],[Irrigation]] / 70), 1 - (CLEAN_TABLE[[#This Row],[Irrigation]] / 150))</f>
        <v>0.78728571428571426</v>
      </c>
      <c r="R2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1684.46</v>
      </c>
    </row>
    <row r="211" spans="1:19">
      <c r="A211" s="6">
        <f>FARM_DATA[[#This Row],[Date]]</f>
        <v>45592</v>
      </c>
      <c r="B211" s="5" t="str">
        <f>FARM_DATA[[#This Row],[Farmer_Type]]</f>
        <v>Smart</v>
      </c>
      <c r="C211" s="8">
        <f>FARM_DATA[[#This Row],[Income]]</f>
        <v>871.65</v>
      </c>
      <c r="D211" s="8">
        <f>FARM_DATA[[#This Row],[Irrigation]]</f>
        <v>10.39</v>
      </c>
      <c r="E211" s="8">
        <f>FARM_DATA[[#This Row],[Seeds]]</f>
        <v>92.31</v>
      </c>
      <c r="F211" s="8">
        <f>FARM_DATA[[#This Row],[Fertilizer]]</f>
        <v>70.33</v>
      </c>
      <c r="G211" s="8">
        <f>FARM_DATA[[#This Row],[Labor]]</f>
        <v>119.34</v>
      </c>
      <c r="H211" s="8">
        <f>FARM_DATA[[#This Row],[Household]]</f>
        <v>223.25</v>
      </c>
      <c r="I211" s="8">
        <f>FARM_DATA[[#This Row],[Medical]]</f>
        <v>30.98</v>
      </c>
      <c r="J211" s="8">
        <f>FARM_DATA[[#This Row],[Misc]]</f>
        <v>33.53</v>
      </c>
      <c r="K211" s="8">
        <f>FARM_DATA[[#This Row],[Total_Expenses]]</f>
        <v>580.13</v>
      </c>
      <c r="L211" s="30">
        <f>FARM_DATA[[#This Row],[Savings]]</f>
        <v>291.52</v>
      </c>
      <c r="M211" s="5" t="str">
        <f>TEXT(CLEAN_TABLE[[#This Row],[Date]], "mmm")</f>
        <v>Oct</v>
      </c>
      <c r="N211" s="5">
        <f>YEAR(CLEAN_TABLE[[#This Row],[Date]])</f>
        <v>2024</v>
      </c>
      <c r="O211" s="5">
        <f>IF(CLEAN_TABLE[[#This Row],[Farmer_Type]]="Smart",0,1)</f>
        <v>0</v>
      </c>
      <c r="P211" s="7">
        <f>IFERROR(CLEAN_TABLE[[#This Row],[Savings]]/CLEAN_TABLE[[#This Row],[Income]],0)</f>
        <v>0.33444616531864851</v>
      </c>
      <c r="Q211" s="7">
        <f>IF(CLEAN_TABLE[[#This Row],[Farmer_Type]]="Smart", 1 - (CLEAN_TABLE[[#This Row],[Irrigation]] / 70), 1 - (CLEAN_TABLE[[#This Row],[Irrigation]] / 150))</f>
        <v>0.85157142857142853</v>
      </c>
      <c r="R2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1451.7799999999997</v>
      </c>
    </row>
    <row r="212" spans="1:19">
      <c r="A212" s="6">
        <f>FARM_DATA[[#This Row],[Date]]</f>
        <v>45593</v>
      </c>
      <c r="B212" s="5" t="str">
        <f>FARM_DATA[[#This Row],[Farmer_Type]]</f>
        <v>Traditional</v>
      </c>
      <c r="C212" s="8">
        <f>FARM_DATA[[#This Row],[Income]]</f>
        <v>370.19</v>
      </c>
      <c r="D212" s="8">
        <f>FARM_DATA[[#This Row],[Irrigation]]</f>
        <v>69.760000000000005</v>
      </c>
      <c r="E212" s="8">
        <f>FARM_DATA[[#This Row],[Seeds]]</f>
        <v>26.44</v>
      </c>
      <c r="F212" s="8">
        <f>FARM_DATA[[#This Row],[Fertilizer]]</f>
        <v>61.49</v>
      </c>
      <c r="G212" s="8">
        <f>FARM_DATA[[#This Row],[Labor]]</f>
        <v>80.52</v>
      </c>
      <c r="H212" s="8">
        <f>FARM_DATA[[#This Row],[Household]]</f>
        <v>185.63</v>
      </c>
      <c r="I212" s="8">
        <f>FARM_DATA[[#This Row],[Medical]]</f>
        <v>16.28</v>
      </c>
      <c r="J212" s="8">
        <f>FARM_DATA[[#This Row],[Misc]]</f>
        <v>32.409999999999997</v>
      </c>
      <c r="K212" s="8">
        <f>FARM_DATA[[#This Row],[Total_Expenses]]</f>
        <v>472.54</v>
      </c>
      <c r="L212" s="30">
        <f>FARM_DATA[[#This Row],[Savings]]</f>
        <v>-102.35</v>
      </c>
      <c r="M212" s="5" t="str">
        <f>TEXT(CLEAN_TABLE[[#This Row],[Date]], "mmm")</f>
        <v>Oct</v>
      </c>
      <c r="N212" s="5">
        <f>YEAR(CLEAN_TABLE[[#This Row],[Date]])</f>
        <v>2024</v>
      </c>
      <c r="O212" s="5">
        <f>IF(CLEAN_TABLE[[#This Row],[Farmer_Type]]="Smart",0,1)</f>
        <v>1</v>
      </c>
      <c r="P212" s="7">
        <f>IFERROR(CLEAN_TABLE[[#This Row],[Savings]]/CLEAN_TABLE[[#This Row],[Income]],0)</f>
        <v>-0.27647964558740107</v>
      </c>
      <c r="Q212" s="7">
        <f>IF(CLEAN_TABLE[[#This Row],[Farmer_Type]]="Smart", 1 - (CLEAN_TABLE[[#This Row],[Irrigation]] / 70), 1 - (CLEAN_TABLE[[#This Row],[Irrigation]] / 150))</f>
        <v>0.53493333333333326</v>
      </c>
      <c r="R2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842.71999999999991</v>
      </c>
    </row>
    <row r="213" spans="1:19">
      <c r="A213" s="6">
        <f>FARM_DATA[[#This Row],[Date]]</f>
        <v>45594</v>
      </c>
      <c r="B213" s="5" t="str">
        <f>FARM_DATA[[#This Row],[Farmer_Type]]</f>
        <v>Traditional</v>
      </c>
      <c r="C213" s="8">
        <f>FARM_DATA[[#This Row],[Income]]</f>
        <v>364.16</v>
      </c>
      <c r="D213" s="8">
        <f>FARM_DATA[[#This Row],[Irrigation]]</f>
        <v>67.41</v>
      </c>
      <c r="E213" s="8">
        <f>FARM_DATA[[#This Row],[Seeds]]</f>
        <v>48.8</v>
      </c>
      <c r="F213" s="8">
        <f>FARM_DATA[[#This Row],[Fertilizer]]</f>
        <v>45.5</v>
      </c>
      <c r="G213" s="8">
        <f>FARM_DATA[[#This Row],[Labor]]</f>
        <v>131.78</v>
      </c>
      <c r="H213" s="8">
        <f>FARM_DATA[[#This Row],[Household]]</f>
        <v>109.62</v>
      </c>
      <c r="I213" s="8">
        <f>FARM_DATA[[#This Row],[Medical]]</f>
        <v>21.01</v>
      </c>
      <c r="J213" s="8">
        <f>FARM_DATA[[#This Row],[Misc]]</f>
        <v>53.27</v>
      </c>
      <c r="K213" s="8">
        <f>FARM_DATA[[#This Row],[Total_Expenses]]</f>
        <v>477.39</v>
      </c>
      <c r="L213" s="30">
        <f>FARM_DATA[[#This Row],[Savings]]</f>
        <v>-113.23</v>
      </c>
      <c r="M213" s="5" t="str">
        <f>TEXT(CLEAN_TABLE[[#This Row],[Date]], "mmm")</f>
        <v>Oct</v>
      </c>
      <c r="N213" s="5">
        <f>YEAR(CLEAN_TABLE[[#This Row],[Date]])</f>
        <v>2024</v>
      </c>
      <c r="O213" s="5">
        <f>IF(CLEAN_TABLE[[#This Row],[Farmer_Type]]="Smart",0,1)</f>
        <v>1</v>
      </c>
      <c r="P213" s="7">
        <f>IFERROR(CLEAN_TABLE[[#This Row],[Savings]]/CLEAN_TABLE[[#This Row],[Income]],0)</f>
        <v>-0.31093475395430581</v>
      </c>
      <c r="Q213" s="7">
        <f>IF(CLEAN_TABLE[[#This Row],[Farmer_Type]]="Smart", 1 - (CLEAN_TABLE[[#This Row],[Irrigation]] / 70), 1 - (CLEAN_TABLE[[#This Row],[Irrigation]] / 150))</f>
        <v>0.55059999999999998</v>
      </c>
      <c r="R2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841.55000000000007</v>
      </c>
    </row>
    <row r="214" spans="1:19">
      <c r="A214" s="6">
        <f>FARM_DATA[[#This Row],[Date]]</f>
        <v>45595</v>
      </c>
      <c r="B214" s="5" t="str">
        <f>FARM_DATA[[#This Row],[Farmer_Type]]</f>
        <v>Traditional</v>
      </c>
      <c r="C214" s="8">
        <f>FARM_DATA[[#This Row],[Income]]</f>
        <v>299.98</v>
      </c>
      <c r="D214" s="8">
        <f>FARM_DATA[[#This Row],[Irrigation]]</f>
        <v>63.22</v>
      </c>
      <c r="E214" s="8">
        <f>FARM_DATA[[#This Row],[Seeds]]</f>
        <v>47.71</v>
      </c>
      <c r="F214" s="8">
        <f>FARM_DATA[[#This Row],[Fertilizer]]</f>
        <v>58.59</v>
      </c>
      <c r="G214" s="8">
        <f>FARM_DATA[[#This Row],[Labor]]</f>
        <v>118.77</v>
      </c>
      <c r="H214" s="8">
        <f>FARM_DATA[[#This Row],[Household]]</f>
        <v>164.68</v>
      </c>
      <c r="I214" s="8">
        <f>FARM_DATA[[#This Row],[Medical]]</f>
        <v>25.08</v>
      </c>
      <c r="J214" s="8">
        <f>FARM_DATA[[#This Row],[Misc]]</f>
        <v>43.32</v>
      </c>
      <c r="K214" s="8">
        <f>FARM_DATA[[#This Row],[Total_Expenses]]</f>
        <v>521.36</v>
      </c>
      <c r="L214" s="30">
        <f>FARM_DATA[[#This Row],[Savings]]</f>
        <v>-221.37</v>
      </c>
      <c r="M214" s="5" t="str">
        <f>TEXT(CLEAN_TABLE[[#This Row],[Date]], "mmm")</f>
        <v>Oct</v>
      </c>
      <c r="N214" s="5">
        <f>YEAR(CLEAN_TABLE[[#This Row],[Date]])</f>
        <v>2024</v>
      </c>
      <c r="O214" s="5">
        <f>IF(CLEAN_TABLE[[#This Row],[Farmer_Type]]="Smart",0,1)</f>
        <v>1</v>
      </c>
      <c r="P214" s="7">
        <f>IFERROR(CLEAN_TABLE[[#This Row],[Savings]]/CLEAN_TABLE[[#This Row],[Income]],0)</f>
        <v>-0.73794919661310754</v>
      </c>
      <c r="Q214" s="7">
        <f>IF(CLEAN_TABLE[[#This Row],[Farmer_Type]]="Smart", 1 - (CLEAN_TABLE[[#This Row],[Irrigation]] / 70), 1 - (CLEAN_TABLE[[#This Row],[Irrigation]] / 150))</f>
        <v>0.57853333333333334</v>
      </c>
      <c r="R2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821.35000000000014</v>
      </c>
    </row>
    <row r="215" spans="1:19">
      <c r="A215" s="6">
        <f>FARM_DATA[[#This Row],[Date]]</f>
        <v>45596</v>
      </c>
      <c r="B215" s="5" t="str">
        <f>FARM_DATA[[#This Row],[Farmer_Type]]</f>
        <v>Smart</v>
      </c>
      <c r="C215" s="8">
        <f>FARM_DATA[[#This Row],[Income]]</f>
        <v>1031.96</v>
      </c>
      <c r="D215" s="8">
        <f>FARM_DATA[[#This Row],[Irrigation]]</f>
        <v>13.79</v>
      </c>
      <c r="E215" s="8">
        <f>FARM_DATA[[#This Row],[Seeds]]</f>
        <v>73.45</v>
      </c>
      <c r="F215" s="8">
        <f>FARM_DATA[[#This Row],[Fertilizer]]</f>
        <v>137</v>
      </c>
      <c r="G215" s="8">
        <f>FARM_DATA[[#This Row],[Labor]]</f>
        <v>92.35</v>
      </c>
      <c r="H215" s="8">
        <f>FARM_DATA[[#This Row],[Household]]</f>
        <v>135.88999999999999</v>
      </c>
      <c r="I215" s="8">
        <f>FARM_DATA[[#This Row],[Medical]]</f>
        <v>31.96</v>
      </c>
      <c r="J215" s="8">
        <f>FARM_DATA[[#This Row],[Misc]]</f>
        <v>38.19</v>
      </c>
      <c r="K215" s="8">
        <f>FARM_DATA[[#This Row],[Total_Expenses]]</f>
        <v>522.64</v>
      </c>
      <c r="L215" s="30">
        <f>FARM_DATA[[#This Row],[Savings]]</f>
        <v>509.33</v>
      </c>
      <c r="M215" s="5" t="str">
        <f>TEXT(CLEAN_TABLE[[#This Row],[Date]], "mmm")</f>
        <v>Oct</v>
      </c>
      <c r="N215" s="5">
        <f>YEAR(CLEAN_TABLE[[#This Row],[Date]])</f>
        <v>2024</v>
      </c>
      <c r="O215" s="5">
        <f>IF(CLEAN_TABLE[[#This Row],[Farmer_Type]]="Smart",0,1)</f>
        <v>0</v>
      </c>
      <c r="P215" s="7">
        <f>IFERROR(CLEAN_TABLE[[#This Row],[Savings]]/CLEAN_TABLE[[#This Row],[Income]],0)</f>
        <v>0.49355595178107675</v>
      </c>
      <c r="Q215" s="7">
        <f>IF(CLEAN_TABLE[[#This Row],[Farmer_Type]]="Smart", 1 - (CLEAN_TABLE[[#This Row],[Irrigation]] / 70), 1 - (CLEAN_TABLE[[#This Row],[Irrigation]] / 150))</f>
        <v>0.80300000000000005</v>
      </c>
      <c r="R2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1554.5900000000001</v>
      </c>
    </row>
    <row r="216" spans="1:19">
      <c r="A216" s="6">
        <f>FARM_DATA[[#This Row],[Date]]</f>
        <v>45597</v>
      </c>
      <c r="B216" s="5" t="str">
        <f>FARM_DATA[[#This Row],[Farmer_Type]]</f>
        <v>Traditional</v>
      </c>
      <c r="C216" s="8">
        <f>FARM_DATA[[#This Row],[Income]]</f>
        <v>241.37</v>
      </c>
      <c r="D216" s="8">
        <f>FARM_DATA[[#This Row],[Irrigation]]</f>
        <v>78.47</v>
      </c>
      <c r="E216" s="8">
        <f>FARM_DATA[[#This Row],[Seeds]]</f>
        <v>31.97</v>
      </c>
      <c r="F216" s="8">
        <f>FARM_DATA[[#This Row],[Fertilizer]]</f>
        <v>53.19</v>
      </c>
      <c r="G216" s="8">
        <f>FARM_DATA[[#This Row],[Labor]]</f>
        <v>118.3</v>
      </c>
      <c r="H216" s="8">
        <f>FARM_DATA[[#This Row],[Household]]</f>
        <v>155.71</v>
      </c>
      <c r="I216" s="8">
        <f>FARM_DATA[[#This Row],[Medical]]</f>
        <v>25.68</v>
      </c>
      <c r="J216" s="8">
        <f>FARM_DATA[[#This Row],[Misc]]</f>
        <v>24.77</v>
      </c>
      <c r="K216" s="8">
        <f>FARM_DATA[[#This Row],[Total_Expenses]]</f>
        <v>488.1</v>
      </c>
      <c r="L216" s="30">
        <f>FARM_DATA[[#This Row],[Savings]]</f>
        <v>-246.73</v>
      </c>
      <c r="M216" s="5" t="str">
        <f>TEXT(CLEAN_TABLE[[#This Row],[Date]], "mmm")</f>
        <v>Nov</v>
      </c>
      <c r="N216" s="5">
        <f>YEAR(CLEAN_TABLE[[#This Row],[Date]])</f>
        <v>2024</v>
      </c>
      <c r="O216" s="5">
        <f>IF(CLEAN_TABLE[[#This Row],[Farmer_Type]]="Smart",0,1)</f>
        <v>1</v>
      </c>
      <c r="P216" s="7">
        <f>IFERROR(CLEAN_TABLE[[#This Row],[Savings]]/CLEAN_TABLE[[#This Row],[Income]],0)</f>
        <v>-1.0222065708248746</v>
      </c>
      <c r="Q216" s="7">
        <f>IF(CLEAN_TABLE[[#This Row],[Farmer_Type]]="Smart", 1 - (CLEAN_TABLE[[#This Row],[Irrigation]] / 70), 1 - (CLEAN_TABLE[[#This Row],[Irrigation]] / 150))</f>
        <v>0.47686666666666666</v>
      </c>
      <c r="R2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729.46</v>
      </c>
    </row>
    <row r="217" spans="1:19">
      <c r="A217" s="6">
        <f>FARM_DATA[[#This Row],[Date]]</f>
        <v>45598</v>
      </c>
      <c r="B217" s="5" t="str">
        <f>FARM_DATA[[#This Row],[Farmer_Type]]</f>
        <v>Smart</v>
      </c>
      <c r="C217" s="8">
        <f>FARM_DATA[[#This Row],[Income]]</f>
        <v>1052.6199999999999</v>
      </c>
      <c r="D217" s="8">
        <f>FARM_DATA[[#This Row],[Irrigation]]</f>
        <v>13.7</v>
      </c>
      <c r="E217" s="8">
        <f>FARM_DATA[[#This Row],[Seeds]]</f>
        <v>74.78</v>
      </c>
      <c r="F217" s="8">
        <f>FARM_DATA[[#This Row],[Fertilizer]]</f>
        <v>98.46</v>
      </c>
      <c r="G217" s="8">
        <f>FARM_DATA[[#This Row],[Labor]]</f>
        <v>76.290000000000006</v>
      </c>
      <c r="H217" s="8">
        <f>FARM_DATA[[#This Row],[Household]]</f>
        <v>208.01</v>
      </c>
      <c r="I217" s="8">
        <f>FARM_DATA[[#This Row],[Medical]]</f>
        <v>17.18</v>
      </c>
      <c r="J217" s="8">
        <f>FARM_DATA[[#This Row],[Misc]]</f>
        <v>52.12</v>
      </c>
      <c r="K217" s="8">
        <f>FARM_DATA[[#This Row],[Total_Expenses]]</f>
        <v>540.54</v>
      </c>
      <c r="L217" s="30">
        <f>FARM_DATA[[#This Row],[Savings]]</f>
        <v>512.08000000000004</v>
      </c>
      <c r="M217" s="5" t="str">
        <f>TEXT(CLEAN_TABLE[[#This Row],[Date]], "mmm")</f>
        <v>Nov</v>
      </c>
      <c r="N217" s="5">
        <f>YEAR(CLEAN_TABLE[[#This Row],[Date]])</f>
        <v>2024</v>
      </c>
      <c r="O217" s="5">
        <f>IF(CLEAN_TABLE[[#This Row],[Farmer_Type]]="Smart",0,1)</f>
        <v>0</v>
      </c>
      <c r="P217" s="7">
        <f>IFERROR(CLEAN_TABLE[[#This Row],[Savings]]/CLEAN_TABLE[[#This Row],[Income]],0)</f>
        <v>0.48648135129486431</v>
      </c>
      <c r="Q217" s="7">
        <f>IF(CLEAN_TABLE[[#This Row],[Farmer_Type]]="Smart", 1 - (CLEAN_TABLE[[#This Row],[Irrigation]] / 70), 1 - (CLEAN_TABLE[[#This Row],[Irrigation]] / 150))</f>
        <v>0.80428571428571427</v>
      </c>
      <c r="R2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1593.1599999999999</v>
      </c>
    </row>
    <row r="218" spans="1:19">
      <c r="A218" s="6">
        <f>FARM_DATA[[#This Row],[Date]]</f>
        <v>45599</v>
      </c>
      <c r="B218" s="5" t="str">
        <f>FARM_DATA[[#This Row],[Farmer_Type]]</f>
        <v>Traditional</v>
      </c>
      <c r="C218" s="8">
        <f>FARM_DATA[[#This Row],[Income]]</f>
        <v>368.36</v>
      </c>
      <c r="D218" s="8">
        <f>FARM_DATA[[#This Row],[Irrigation]]</f>
        <v>88.38</v>
      </c>
      <c r="E218" s="8">
        <f>FARM_DATA[[#This Row],[Seeds]]</f>
        <v>36.65</v>
      </c>
      <c r="F218" s="8">
        <f>FARM_DATA[[#This Row],[Fertilizer]]</f>
        <v>48.01</v>
      </c>
      <c r="G218" s="8">
        <f>FARM_DATA[[#This Row],[Labor]]</f>
        <v>109.51</v>
      </c>
      <c r="H218" s="8">
        <f>FARM_DATA[[#This Row],[Household]]</f>
        <v>140.9</v>
      </c>
      <c r="I218" s="8">
        <f>FARM_DATA[[#This Row],[Medical]]</f>
        <v>26.4</v>
      </c>
      <c r="J218" s="8">
        <f>FARM_DATA[[#This Row],[Misc]]</f>
        <v>10.6</v>
      </c>
      <c r="K218" s="8">
        <f>FARM_DATA[[#This Row],[Total_Expenses]]</f>
        <v>460.47</v>
      </c>
      <c r="L218" s="30">
        <f>FARM_DATA[[#This Row],[Savings]]</f>
        <v>-92.1</v>
      </c>
      <c r="M218" s="5" t="str">
        <f>TEXT(CLEAN_TABLE[[#This Row],[Date]], "mmm")</f>
        <v>Nov</v>
      </c>
      <c r="N218" s="5">
        <f>YEAR(CLEAN_TABLE[[#This Row],[Date]])</f>
        <v>2024</v>
      </c>
      <c r="O218" s="5">
        <f>IF(CLEAN_TABLE[[#This Row],[Farmer_Type]]="Smart",0,1)</f>
        <v>1</v>
      </c>
      <c r="P218" s="7">
        <f>IFERROR(CLEAN_TABLE[[#This Row],[Savings]]/CLEAN_TABLE[[#This Row],[Income]],0)</f>
        <v>-0.25002714735584752</v>
      </c>
      <c r="Q218" s="7">
        <f>IF(CLEAN_TABLE[[#This Row],[Farmer_Type]]="Smart", 1 - (CLEAN_TABLE[[#This Row],[Irrigation]] / 70), 1 - (CLEAN_TABLE[[#This Row],[Irrigation]] / 150))</f>
        <v>0.41080000000000005</v>
      </c>
      <c r="R2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828.81</v>
      </c>
    </row>
    <row r="219" spans="1:19">
      <c r="A219" s="6">
        <f>FARM_DATA[[#This Row],[Date]]</f>
        <v>45600</v>
      </c>
      <c r="B219" s="5" t="str">
        <f>FARM_DATA[[#This Row],[Farmer_Type]]</f>
        <v>Smart</v>
      </c>
      <c r="C219" s="8">
        <f>FARM_DATA[[#This Row],[Income]]</f>
        <v>739.26</v>
      </c>
      <c r="D219" s="8">
        <f>FARM_DATA[[#This Row],[Irrigation]]</f>
        <v>9.66</v>
      </c>
      <c r="E219" s="8">
        <f>FARM_DATA[[#This Row],[Seeds]]</f>
        <v>79.010000000000005</v>
      </c>
      <c r="F219" s="8">
        <f>FARM_DATA[[#This Row],[Fertilizer]]</f>
        <v>131.32</v>
      </c>
      <c r="G219" s="8">
        <f>FARM_DATA[[#This Row],[Labor]]</f>
        <v>92.91</v>
      </c>
      <c r="H219" s="8">
        <f>FARM_DATA[[#This Row],[Household]]</f>
        <v>164.09</v>
      </c>
      <c r="I219" s="8">
        <f>FARM_DATA[[#This Row],[Medical]]</f>
        <v>22.63</v>
      </c>
      <c r="J219" s="8">
        <f>FARM_DATA[[#This Row],[Misc]]</f>
        <v>57.43</v>
      </c>
      <c r="K219" s="8">
        <f>FARM_DATA[[#This Row],[Total_Expenses]]</f>
        <v>557.04999999999995</v>
      </c>
      <c r="L219" s="30">
        <f>FARM_DATA[[#This Row],[Savings]]</f>
        <v>182.22</v>
      </c>
      <c r="M219" s="5" t="str">
        <f>TEXT(CLEAN_TABLE[[#This Row],[Date]], "mmm")</f>
        <v>Nov</v>
      </c>
      <c r="N219" s="5">
        <f>YEAR(CLEAN_TABLE[[#This Row],[Date]])</f>
        <v>2024</v>
      </c>
      <c r="O219" s="5">
        <f>IF(CLEAN_TABLE[[#This Row],[Farmer_Type]]="Smart",0,1)</f>
        <v>0</v>
      </c>
      <c r="P219" s="7">
        <f>IFERROR(CLEAN_TABLE[[#This Row],[Savings]]/CLEAN_TABLE[[#This Row],[Income]],0)</f>
        <v>0.24648973297621946</v>
      </c>
      <c r="Q219" s="7">
        <f>IF(CLEAN_TABLE[[#This Row],[Farmer_Type]]="Smart", 1 - (CLEAN_TABLE[[#This Row],[Irrigation]] / 70), 1 - (CLEAN_TABLE[[#This Row],[Irrigation]] / 150))</f>
        <v>0.86199999999999999</v>
      </c>
      <c r="R2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1296.3100000000002</v>
      </c>
    </row>
    <row r="220" spans="1:19">
      <c r="A220" s="6">
        <f>FARM_DATA[[#This Row],[Date]]</f>
        <v>45601</v>
      </c>
      <c r="B220" s="5" t="str">
        <f>FARM_DATA[[#This Row],[Farmer_Type]]</f>
        <v>Smart</v>
      </c>
      <c r="C220" s="8">
        <f>FARM_DATA[[#This Row],[Income]]</f>
        <v>764.53</v>
      </c>
      <c r="D220" s="8">
        <f>FARM_DATA[[#This Row],[Irrigation]]</f>
        <v>16.190000000000001</v>
      </c>
      <c r="E220" s="8">
        <f>FARM_DATA[[#This Row],[Seeds]]</f>
        <v>79.5</v>
      </c>
      <c r="F220" s="8">
        <f>FARM_DATA[[#This Row],[Fertilizer]]</f>
        <v>95.03</v>
      </c>
      <c r="G220" s="8">
        <f>FARM_DATA[[#This Row],[Labor]]</f>
        <v>98.79</v>
      </c>
      <c r="H220" s="8">
        <f>FARM_DATA[[#This Row],[Household]]</f>
        <v>205.04</v>
      </c>
      <c r="I220" s="8">
        <f>FARM_DATA[[#This Row],[Medical]]</f>
        <v>-2.33</v>
      </c>
      <c r="J220" s="8">
        <f>FARM_DATA[[#This Row],[Misc]]</f>
        <v>50.17</v>
      </c>
      <c r="K220" s="8">
        <f>FARM_DATA[[#This Row],[Total_Expenses]]</f>
        <v>542.4</v>
      </c>
      <c r="L220" s="30">
        <f>FARM_DATA[[#This Row],[Savings]]</f>
        <v>222.13</v>
      </c>
      <c r="M220" s="5" t="str">
        <f>TEXT(CLEAN_TABLE[[#This Row],[Date]], "mmm")</f>
        <v>Nov</v>
      </c>
      <c r="N220" s="5">
        <f>YEAR(CLEAN_TABLE[[#This Row],[Date]])</f>
        <v>2024</v>
      </c>
      <c r="O220" s="5">
        <f>IF(CLEAN_TABLE[[#This Row],[Farmer_Type]]="Smart",0,1)</f>
        <v>0</v>
      </c>
      <c r="P220" s="7">
        <f>IFERROR(CLEAN_TABLE[[#This Row],[Savings]]/CLEAN_TABLE[[#This Row],[Income]],0)</f>
        <v>0.29054451754672805</v>
      </c>
      <c r="Q220" s="7">
        <f>IF(CLEAN_TABLE[[#This Row],[Farmer_Type]]="Smart", 1 - (CLEAN_TABLE[[#This Row],[Irrigation]] / 70), 1 - (CLEAN_TABLE[[#This Row],[Irrigation]] / 150))</f>
        <v>0.76871428571428568</v>
      </c>
      <c r="R2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1306.92</v>
      </c>
    </row>
    <row r="221" spans="1:19">
      <c r="A221" s="6">
        <f>FARM_DATA[[#This Row],[Date]]</f>
        <v>45602</v>
      </c>
      <c r="B221" s="5" t="str">
        <f>FARM_DATA[[#This Row],[Farmer_Type]]</f>
        <v>Smart</v>
      </c>
      <c r="C221" s="8">
        <f>FARM_DATA[[#This Row],[Income]]</f>
        <v>819.18</v>
      </c>
      <c r="D221" s="8">
        <f>FARM_DATA[[#This Row],[Irrigation]]</f>
        <v>5.85</v>
      </c>
      <c r="E221" s="8">
        <f>FARM_DATA[[#This Row],[Seeds]]</f>
        <v>70.22</v>
      </c>
      <c r="F221" s="8">
        <f>FARM_DATA[[#This Row],[Fertilizer]]</f>
        <v>121.21</v>
      </c>
      <c r="G221" s="8">
        <f>FARM_DATA[[#This Row],[Labor]]</f>
        <v>92.25</v>
      </c>
      <c r="H221" s="8">
        <f>FARM_DATA[[#This Row],[Household]]</f>
        <v>203.35</v>
      </c>
      <c r="I221" s="8">
        <f>FARM_DATA[[#This Row],[Medical]]</f>
        <v>36.51</v>
      </c>
      <c r="J221" s="8">
        <f>FARM_DATA[[#This Row],[Misc]]</f>
        <v>59.72</v>
      </c>
      <c r="K221" s="8">
        <f>FARM_DATA[[#This Row],[Total_Expenses]]</f>
        <v>589.12</v>
      </c>
      <c r="L221" s="30">
        <f>FARM_DATA[[#This Row],[Savings]]</f>
        <v>230.07</v>
      </c>
      <c r="M221" s="5" t="str">
        <f>TEXT(CLEAN_TABLE[[#This Row],[Date]], "mmm")</f>
        <v>Nov</v>
      </c>
      <c r="N221" s="5">
        <f>YEAR(CLEAN_TABLE[[#This Row],[Date]])</f>
        <v>2024</v>
      </c>
      <c r="O221" s="5">
        <f>IF(CLEAN_TABLE[[#This Row],[Farmer_Type]]="Smart",0,1)</f>
        <v>0</v>
      </c>
      <c r="P221" s="7">
        <f>IFERROR(CLEAN_TABLE[[#This Row],[Savings]]/CLEAN_TABLE[[#This Row],[Income]],0)</f>
        <v>0.28085402475646382</v>
      </c>
      <c r="Q221" s="7">
        <f>IF(CLEAN_TABLE[[#This Row],[Farmer_Type]]="Smart", 1 - (CLEAN_TABLE[[#This Row],[Irrigation]] / 70), 1 - (CLEAN_TABLE[[#This Row],[Irrigation]] / 150))</f>
        <v>0.91642857142857148</v>
      </c>
      <c r="R2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1408.29</v>
      </c>
    </row>
    <row r="222" spans="1:19">
      <c r="A222" s="6">
        <f>FARM_DATA[[#This Row],[Date]]</f>
        <v>45603</v>
      </c>
      <c r="B222" s="5" t="str">
        <f>FARM_DATA[[#This Row],[Farmer_Type]]</f>
        <v>Smart</v>
      </c>
      <c r="C222" s="8">
        <f>FARM_DATA[[#This Row],[Income]]</f>
        <v>1277.99</v>
      </c>
      <c r="D222" s="8">
        <f>FARM_DATA[[#This Row],[Irrigation]]</f>
        <v>18.71</v>
      </c>
      <c r="E222" s="8">
        <f>FARM_DATA[[#This Row],[Seeds]]</f>
        <v>61.51</v>
      </c>
      <c r="F222" s="8">
        <f>FARM_DATA[[#This Row],[Fertilizer]]</f>
        <v>31.94</v>
      </c>
      <c r="G222" s="8">
        <f>FARM_DATA[[#This Row],[Labor]]</f>
        <v>90.08</v>
      </c>
      <c r="H222" s="8">
        <f>FARM_DATA[[#This Row],[Household]]</f>
        <v>140.49</v>
      </c>
      <c r="I222" s="8">
        <f>FARM_DATA[[#This Row],[Medical]]</f>
        <v>41.54</v>
      </c>
      <c r="J222" s="8">
        <f>FARM_DATA[[#This Row],[Misc]]</f>
        <v>37.36</v>
      </c>
      <c r="K222" s="8">
        <f>FARM_DATA[[#This Row],[Total_Expenses]]</f>
        <v>421.63</v>
      </c>
      <c r="L222" s="30">
        <f>FARM_DATA[[#This Row],[Savings]]</f>
        <v>856.37</v>
      </c>
      <c r="M222" s="5" t="str">
        <f>TEXT(CLEAN_TABLE[[#This Row],[Date]], "mmm")</f>
        <v>Nov</v>
      </c>
      <c r="N222" s="5">
        <f>YEAR(CLEAN_TABLE[[#This Row],[Date]])</f>
        <v>2024</v>
      </c>
      <c r="O222" s="5">
        <f>IF(CLEAN_TABLE[[#This Row],[Farmer_Type]]="Smart",0,1)</f>
        <v>0</v>
      </c>
      <c r="P222" s="7">
        <f>IFERROR(CLEAN_TABLE[[#This Row],[Savings]]/CLEAN_TABLE[[#This Row],[Income]],0)</f>
        <v>0.67009131526850763</v>
      </c>
      <c r="Q222" s="7">
        <f>IF(CLEAN_TABLE[[#This Row],[Farmer_Type]]="Smart", 1 - (CLEAN_TABLE[[#This Row],[Irrigation]] / 70), 1 - (CLEAN_TABLE[[#This Row],[Irrigation]] / 150))</f>
        <v>0.73271428571428565</v>
      </c>
      <c r="R2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1699.62</v>
      </c>
    </row>
    <row r="223" spans="1:19">
      <c r="A223" s="6">
        <f>FARM_DATA[[#This Row],[Date]]</f>
        <v>45604</v>
      </c>
      <c r="B223" s="5" t="str">
        <f>FARM_DATA[[#This Row],[Farmer_Type]]</f>
        <v>Traditional</v>
      </c>
      <c r="C223" s="8">
        <f>FARM_DATA[[#This Row],[Income]]</f>
        <v>356.16</v>
      </c>
      <c r="D223" s="8">
        <f>FARM_DATA[[#This Row],[Irrigation]]</f>
        <v>75.510000000000005</v>
      </c>
      <c r="E223" s="8">
        <f>FARM_DATA[[#This Row],[Seeds]]</f>
        <v>40.65</v>
      </c>
      <c r="F223" s="8">
        <f>FARM_DATA[[#This Row],[Fertilizer]]</f>
        <v>88.9</v>
      </c>
      <c r="G223" s="8">
        <f>FARM_DATA[[#This Row],[Labor]]</f>
        <v>94.43</v>
      </c>
      <c r="H223" s="8">
        <f>FARM_DATA[[#This Row],[Household]]</f>
        <v>155.84</v>
      </c>
      <c r="I223" s="8">
        <f>FARM_DATA[[#This Row],[Medical]]</f>
        <v>14.06</v>
      </c>
      <c r="J223" s="8">
        <f>FARM_DATA[[#This Row],[Misc]]</f>
        <v>14.16</v>
      </c>
      <c r="K223" s="8">
        <f>FARM_DATA[[#This Row],[Total_Expenses]]</f>
        <v>483.56</v>
      </c>
      <c r="L223" s="30">
        <f>FARM_DATA[[#This Row],[Savings]]</f>
        <v>-127.4</v>
      </c>
      <c r="M223" s="5" t="str">
        <f>TEXT(CLEAN_TABLE[[#This Row],[Date]], "mmm")</f>
        <v>Nov</v>
      </c>
      <c r="N223" s="5">
        <f>YEAR(CLEAN_TABLE[[#This Row],[Date]])</f>
        <v>2024</v>
      </c>
      <c r="O223" s="5">
        <f>IF(CLEAN_TABLE[[#This Row],[Farmer_Type]]="Smart",0,1)</f>
        <v>1</v>
      </c>
      <c r="P223" s="7">
        <f>IFERROR(CLEAN_TABLE[[#This Row],[Savings]]/CLEAN_TABLE[[#This Row],[Income]],0)</f>
        <v>-0.35770440251572327</v>
      </c>
      <c r="Q223" s="7">
        <f>IF(CLEAN_TABLE[[#This Row],[Farmer_Type]]="Smart", 1 - (CLEAN_TABLE[[#This Row],[Irrigation]] / 70), 1 - (CLEAN_TABLE[[#This Row],[Irrigation]] / 150))</f>
        <v>0.49659999999999993</v>
      </c>
      <c r="R2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839.71</v>
      </c>
    </row>
    <row r="224" spans="1:19">
      <c r="A224" s="6">
        <f>FARM_DATA[[#This Row],[Date]]</f>
        <v>45605</v>
      </c>
      <c r="B224" s="5" t="str">
        <f>FARM_DATA[[#This Row],[Farmer_Type]]</f>
        <v>Smart</v>
      </c>
      <c r="C224" s="8">
        <f>FARM_DATA[[#This Row],[Income]]</f>
        <v>827.65</v>
      </c>
      <c r="D224" s="8">
        <f>FARM_DATA[[#This Row],[Irrigation]]</f>
        <v>14.81</v>
      </c>
      <c r="E224" s="8">
        <f>FARM_DATA[[#This Row],[Seeds]]</f>
        <v>51.41</v>
      </c>
      <c r="F224" s="8">
        <f>FARM_DATA[[#This Row],[Fertilizer]]</f>
        <v>59.23</v>
      </c>
      <c r="G224" s="8">
        <f>FARM_DATA[[#This Row],[Labor]]</f>
        <v>66.87</v>
      </c>
      <c r="H224" s="8">
        <f>FARM_DATA[[#This Row],[Household]]</f>
        <v>167.09</v>
      </c>
      <c r="I224" s="8">
        <f>FARM_DATA[[#This Row],[Medical]]</f>
        <v>8.4600000000000009</v>
      </c>
      <c r="J224" s="8">
        <f>FARM_DATA[[#This Row],[Misc]]</f>
        <v>51.4</v>
      </c>
      <c r="K224" s="8">
        <f>FARM_DATA[[#This Row],[Total_Expenses]]</f>
        <v>419.28</v>
      </c>
      <c r="L224" s="30">
        <f>FARM_DATA[[#This Row],[Savings]]</f>
        <v>408.37</v>
      </c>
      <c r="M224" s="5" t="str">
        <f>TEXT(CLEAN_TABLE[[#This Row],[Date]], "mmm")</f>
        <v>Nov</v>
      </c>
      <c r="N224" s="5">
        <f>YEAR(CLEAN_TABLE[[#This Row],[Date]])</f>
        <v>2024</v>
      </c>
      <c r="O224" s="5">
        <f>IF(CLEAN_TABLE[[#This Row],[Farmer_Type]]="Smart",0,1)</f>
        <v>0</v>
      </c>
      <c r="P224" s="7">
        <f>IFERROR(CLEAN_TABLE[[#This Row],[Savings]]/CLEAN_TABLE[[#This Row],[Income]],0)</f>
        <v>0.49340904971908417</v>
      </c>
      <c r="Q224" s="7">
        <f>IF(CLEAN_TABLE[[#This Row],[Farmer_Type]]="Smart", 1 - (CLEAN_TABLE[[#This Row],[Irrigation]] / 70), 1 - (CLEAN_TABLE[[#This Row],[Irrigation]] / 150))</f>
        <v>0.78842857142857148</v>
      </c>
      <c r="R2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1246.92</v>
      </c>
    </row>
    <row r="225" spans="1:19">
      <c r="A225" s="6">
        <f>FARM_DATA[[#This Row],[Date]]</f>
        <v>45606</v>
      </c>
      <c r="B225" s="5" t="str">
        <f>FARM_DATA[[#This Row],[Farmer_Type]]</f>
        <v>Smart</v>
      </c>
      <c r="C225" s="8">
        <f>FARM_DATA[[#This Row],[Income]]</f>
        <v>966.49</v>
      </c>
      <c r="D225" s="8">
        <f>FARM_DATA[[#This Row],[Irrigation]]</f>
        <v>7.71</v>
      </c>
      <c r="E225" s="8">
        <f>FARM_DATA[[#This Row],[Seeds]]</f>
        <v>53.82</v>
      </c>
      <c r="F225" s="8">
        <f>FARM_DATA[[#This Row],[Fertilizer]]</f>
        <v>57.44</v>
      </c>
      <c r="G225" s="8">
        <f>FARM_DATA[[#This Row],[Labor]]</f>
        <v>101.38</v>
      </c>
      <c r="H225" s="8">
        <f>FARM_DATA[[#This Row],[Household]]</f>
        <v>216.92</v>
      </c>
      <c r="I225" s="8">
        <f>FARM_DATA[[#This Row],[Medical]]</f>
        <v>5.12</v>
      </c>
      <c r="J225" s="8">
        <f>FARM_DATA[[#This Row],[Misc]]</f>
        <v>41.73</v>
      </c>
      <c r="K225" s="8">
        <f>FARM_DATA[[#This Row],[Total_Expenses]]</f>
        <v>484.11</v>
      </c>
      <c r="L225" s="30">
        <f>FARM_DATA[[#This Row],[Savings]]</f>
        <v>482.38</v>
      </c>
      <c r="M225" s="5" t="str">
        <f>TEXT(CLEAN_TABLE[[#This Row],[Date]], "mmm")</f>
        <v>Nov</v>
      </c>
      <c r="N225" s="5">
        <f>YEAR(CLEAN_TABLE[[#This Row],[Date]])</f>
        <v>2024</v>
      </c>
      <c r="O225" s="5">
        <f>IF(CLEAN_TABLE[[#This Row],[Farmer_Type]]="Smart",0,1)</f>
        <v>0</v>
      </c>
      <c r="P225" s="7">
        <f>IFERROR(CLEAN_TABLE[[#This Row],[Savings]]/CLEAN_TABLE[[#This Row],[Income]],0)</f>
        <v>0.49910500884644432</v>
      </c>
      <c r="Q225" s="7">
        <f>IF(CLEAN_TABLE[[#This Row],[Farmer_Type]]="Smart", 1 - (CLEAN_TABLE[[#This Row],[Irrigation]] / 70), 1 - (CLEAN_TABLE[[#This Row],[Irrigation]] / 150))</f>
        <v>0.8898571428571429</v>
      </c>
      <c r="R2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1450.6100000000001</v>
      </c>
    </row>
    <row r="226" spans="1:19">
      <c r="A226" s="6">
        <f>FARM_DATA[[#This Row],[Date]]</f>
        <v>45607</v>
      </c>
      <c r="B226" s="5" t="str">
        <f>FARM_DATA[[#This Row],[Farmer_Type]]</f>
        <v>Traditional</v>
      </c>
      <c r="C226" s="8">
        <f>FARM_DATA[[#This Row],[Income]]</f>
        <v>341.99</v>
      </c>
      <c r="D226" s="8">
        <f>FARM_DATA[[#This Row],[Irrigation]]</f>
        <v>76.709999999999994</v>
      </c>
      <c r="E226" s="8">
        <f>FARM_DATA[[#This Row],[Seeds]]</f>
        <v>43.2</v>
      </c>
      <c r="F226" s="8">
        <f>FARM_DATA[[#This Row],[Fertilizer]]</f>
        <v>39.96</v>
      </c>
      <c r="G226" s="8">
        <f>FARM_DATA[[#This Row],[Labor]]</f>
        <v>102.02</v>
      </c>
      <c r="H226" s="8">
        <f>FARM_DATA[[#This Row],[Household]]</f>
        <v>126.12</v>
      </c>
      <c r="I226" s="8">
        <f>FARM_DATA[[#This Row],[Medical]]</f>
        <v>28.61</v>
      </c>
      <c r="J226" s="8">
        <f>FARM_DATA[[#This Row],[Misc]]</f>
        <v>30.26</v>
      </c>
      <c r="K226" s="8">
        <f>FARM_DATA[[#This Row],[Total_Expenses]]</f>
        <v>446.88</v>
      </c>
      <c r="L226" s="30">
        <f>FARM_DATA[[#This Row],[Savings]]</f>
        <v>-104.89</v>
      </c>
      <c r="M226" s="5" t="str">
        <f>TEXT(CLEAN_TABLE[[#This Row],[Date]], "mmm")</f>
        <v>Nov</v>
      </c>
      <c r="N226" s="5">
        <f>YEAR(CLEAN_TABLE[[#This Row],[Date]])</f>
        <v>2024</v>
      </c>
      <c r="O226" s="5">
        <f>IF(CLEAN_TABLE[[#This Row],[Farmer_Type]]="Smart",0,1)</f>
        <v>1</v>
      </c>
      <c r="P226" s="7">
        <f>IFERROR(CLEAN_TABLE[[#This Row],[Savings]]/CLEAN_TABLE[[#This Row],[Income]],0)</f>
        <v>-0.30670487441153249</v>
      </c>
      <c r="Q226" s="7">
        <f>IF(CLEAN_TABLE[[#This Row],[Farmer_Type]]="Smart", 1 - (CLEAN_TABLE[[#This Row],[Irrigation]] / 70), 1 - (CLEAN_TABLE[[#This Row],[Irrigation]] / 150))</f>
        <v>0.48860000000000003</v>
      </c>
      <c r="R2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788.87</v>
      </c>
    </row>
    <row r="227" spans="1:19">
      <c r="A227" s="6">
        <f>FARM_DATA[[#This Row],[Date]]</f>
        <v>45608</v>
      </c>
      <c r="B227" s="5" t="str">
        <f>FARM_DATA[[#This Row],[Farmer_Type]]</f>
        <v>Smart</v>
      </c>
      <c r="C227" s="8">
        <f>FARM_DATA[[#This Row],[Income]]</f>
        <v>1330.24</v>
      </c>
      <c r="D227" s="8">
        <f>FARM_DATA[[#This Row],[Irrigation]]</f>
        <v>14.7</v>
      </c>
      <c r="E227" s="8">
        <f>FARM_DATA[[#This Row],[Seeds]]</f>
        <v>45.83</v>
      </c>
      <c r="F227" s="8">
        <f>FARM_DATA[[#This Row],[Fertilizer]]</f>
        <v>34.590000000000003</v>
      </c>
      <c r="G227" s="8">
        <f>FARM_DATA[[#This Row],[Labor]]</f>
        <v>58.94</v>
      </c>
      <c r="H227" s="8">
        <f>FARM_DATA[[#This Row],[Household]]</f>
        <v>114.56</v>
      </c>
      <c r="I227" s="8">
        <f>FARM_DATA[[#This Row],[Medical]]</f>
        <v>24.4</v>
      </c>
      <c r="J227" s="8">
        <f>FARM_DATA[[#This Row],[Misc]]</f>
        <v>47.63</v>
      </c>
      <c r="K227" s="8">
        <f>FARM_DATA[[#This Row],[Total_Expenses]]</f>
        <v>340.64</v>
      </c>
      <c r="L227" s="30">
        <f>FARM_DATA[[#This Row],[Savings]]</f>
        <v>989.59</v>
      </c>
      <c r="M227" s="5" t="str">
        <f>TEXT(CLEAN_TABLE[[#This Row],[Date]], "mmm")</f>
        <v>Nov</v>
      </c>
      <c r="N227" s="5">
        <f>YEAR(CLEAN_TABLE[[#This Row],[Date]])</f>
        <v>2024</v>
      </c>
      <c r="O227" s="5">
        <f>IF(CLEAN_TABLE[[#This Row],[Farmer_Type]]="Smart",0,1)</f>
        <v>0</v>
      </c>
      <c r="P227" s="7">
        <f>IFERROR(CLEAN_TABLE[[#This Row],[Savings]]/CLEAN_TABLE[[#This Row],[Income]],0)</f>
        <v>0.74391839066634591</v>
      </c>
      <c r="Q227" s="7">
        <f>IF(CLEAN_TABLE[[#This Row],[Farmer_Type]]="Smart", 1 - (CLEAN_TABLE[[#This Row],[Irrigation]] / 70), 1 - (CLEAN_TABLE[[#This Row],[Irrigation]] / 150))</f>
        <v>0.79</v>
      </c>
      <c r="R2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1670.89</v>
      </c>
    </row>
    <row r="228" spans="1:19">
      <c r="A228" s="6">
        <f>FARM_DATA[[#This Row],[Date]]</f>
        <v>45609</v>
      </c>
      <c r="B228" s="5" t="str">
        <f>FARM_DATA[[#This Row],[Farmer_Type]]</f>
        <v>Traditional</v>
      </c>
      <c r="C228" s="8">
        <f>FARM_DATA[[#This Row],[Income]]</f>
        <v>270.94</v>
      </c>
      <c r="D228" s="8">
        <f>FARM_DATA[[#This Row],[Irrigation]]</f>
        <v>78.95</v>
      </c>
      <c r="E228" s="8">
        <f>FARM_DATA[[#This Row],[Seeds]]</f>
        <v>32.75</v>
      </c>
      <c r="F228" s="8">
        <f>FARM_DATA[[#This Row],[Fertilizer]]</f>
        <v>57.94</v>
      </c>
      <c r="G228" s="8">
        <f>FARM_DATA[[#This Row],[Labor]]</f>
        <v>150.31</v>
      </c>
      <c r="H228" s="8">
        <f>FARM_DATA[[#This Row],[Household]]</f>
        <v>176.91</v>
      </c>
      <c r="I228" s="8">
        <f>FARM_DATA[[#This Row],[Medical]]</f>
        <v>17.850000000000001</v>
      </c>
      <c r="J228" s="8">
        <f>FARM_DATA[[#This Row],[Misc]]</f>
        <v>19.309999999999999</v>
      </c>
      <c r="K228" s="8">
        <f>FARM_DATA[[#This Row],[Total_Expenses]]</f>
        <v>534.01</v>
      </c>
      <c r="L228" s="30">
        <f>FARM_DATA[[#This Row],[Savings]]</f>
        <v>-263.07</v>
      </c>
      <c r="M228" s="5" t="str">
        <f>TEXT(CLEAN_TABLE[[#This Row],[Date]], "mmm")</f>
        <v>Nov</v>
      </c>
      <c r="N228" s="5">
        <f>YEAR(CLEAN_TABLE[[#This Row],[Date]])</f>
        <v>2024</v>
      </c>
      <c r="O228" s="5">
        <f>IF(CLEAN_TABLE[[#This Row],[Farmer_Type]]="Smart",0,1)</f>
        <v>1</v>
      </c>
      <c r="P228" s="7">
        <f>IFERROR(CLEAN_TABLE[[#This Row],[Savings]]/CLEAN_TABLE[[#This Row],[Income]],0)</f>
        <v>-0.97095297851922935</v>
      </c>
      <c r="Q228" s="7">
        <f>IF(CLEAN_TABLE[[#This Row],[Farmer_Type]]="Smart", 1 - (CLEAN_TABLE[[#This Row],[Irrigation]] / 70), 1 - (CLEAN_TABLE[[#This Row],[Irrigation]] / 150))</f>
        <v>0.47366666666666668</v>
      </c>
      <c r="R2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804.95999999999992</v>
      </c>
    </row>
    <row r="229" spans="1:19">
      <c r="A229" s="6">
        <f>FARM_DATA[[#This Row],[Date]]</f>
        <v>45610</v>
      </c>
      <c r="B229" s="5" t="str">
        <f>FARM_DATA[[#This Row],[Farmer_Type]]</f>
        <v>Traditional</v>
      </c>
      <c r="C229" s="8">
        <f>FARM_DATA[[#This Row],[Income]]</f>
        <v>242.41</v>
      </c>
      <c r="D229" s="8">
        <f>FARM_DATA[[#This Row],[Irrigation]]</f>
        <v>62.81</v>
      </c>
      <c r="E229" s="8">
        <f>FARM_DATA[[#This Row],[Seeds]]</f>
        <v>36.83</v>
      </c>
      <c r="F229" s="8">
        <f>FARM_DATA[[#This Row],[Fertilizer]]</f>
        <v>35.26</v>
      </c>
      <c r="G229" s="8">
        <f>FARM_DATA[[#This Row],[Labor]]</f>
        <v>106.72</v>
      </c>
      <c r="H229" s="8">
        <f>FARM_DATA[[#This Row],[Household]]</f>
        <v>152.31</v>
      </c>
      <c r="I229" s="8">
        <f>FARM_DATA[[#This Row],[Medical]]</f>
        <v>18.2</v>
      </c>
      <c r="J229" s="8">
        <f>FARM_DATA[[#This Row],[Misc]]</f>
        <v>22.2</v>
      </c>
      <c r="K229" s="8">
        <f>FARM_DATA[[#This Row],[Total_Expenses]]</f>
        <v>434.32</v>
      </c>
      <c r="L229" s="30">
        <f>FARM_DATA[[#This Row],[Savings]]</f>
        <v>-191.91</v>
      </c>
      <c r="M229" s="5" t="str">
        <f>TEXT(CLEAN_TABLE[[#This Row],[Date]], "mmm")</f>
        <v>Nov</v>
      </c>
      <c r="N229" s="5">
        <f>YEAR(CLEAN_TABLE[[#This Row],[Date]])</f>
        <v>2024</v>
      </c>
      <c r="O229" s="5">
        <f>IF(CLEAN_TABLE[[#This Row],[Farmer_Type]]="Smart",0,1)</f>
        <v>1</v>
      </c>
      <c r="P229" s="7">
        <f>IFERROR(CLEAN_TABLE[[#This Row],[Savings]]/CLEAN_TABLE[[#This Row],[Income]],0)</f>
        <v>-0.79167526092157914</v>
      </c>
      <c r="Q229" s="7">
        <f>IF(CLEAN_TABLE[[#This Row],[Farmer_Type]]="Smart", 1 - (CLEAN_TABLE[[#This Row],[Irrigation]] / 70), 1 - (CLEAN_TABLE[[#This Row],[Irrigation]] / 150))</f>
        <v>0.5812666666666666</v>
      </c>
      <c r="R2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676.74</v>
      </c>
    </row>
    <row r="230" spans="1:19">
      <c r="A230" s="6">
        <f>FARM_DATA[[#This Row],[Date]]</f>
        <v>45611</v>
      </c>
      <c r="B230" s="5" t="str">
        <f>FARM_DATA[[#This Row],[Farmer_Type]]</f>
        <v>Smart</v>
      </c>
      <c r="C230" s="8">
        <f>FARM_DATA[[#This Row],[Income]]</f>
        <v>983.73</v>
      </c>
      <c r="D230" s="8">
        <f>FARM_DATA[[#This Row],[Irrigation]]</f>
        <v>17.21</v>
      </c>
      <c r="E230" s="8">
        <f>FARM_DATA[[#This Row],[Seeds]]</f>
        <v>38.19</v>
      </c>
      <c r="F230" s="8">
        <f>FARM_DATA[[#This Row],[Fertilizer]]</f>
        <v>122.33</v>
      </c>
      <c r="G230" s="8">
        <f>FARM_DATA[[#This Row],[Labor]]</f>
        <v>93.03</v>
      </c>
      <c r="H230" s="8">
        <f>FARM_DATA[[#This Row],[Household]]</f>
        <v>170.66</v>
      </c>
      <c r="I230" s="8">
        <f>FARM_DATA[[#This Row],[Medical]]</f>
        <v>28.37</v>
      </c>
      <c r="J230" s="8">
        <f>FARM_DATA[[#This Row],[Misc]]</f>
        <v>43.5</v>
      </c>
      <c r="K230" s="8">
        <f>FARM_DATA[[#This Row],[Total_Expenses]]</f>
        <v>513.29</v>
      </c>
      <c r="L230" s="30">
        <f>FARM_DATA[[#This Row],[Savings]]</f>
        <v>470.44</v>
      </c>
      <c r="M230" s="5" t="str">
        <f>TEXT(CLEAN_TABLE[[#This Row],[Date]], "mmm")</f>
        <v>Nov</v>
      </c>
      <c r="N230" s="5">
        <f>YEAR(CLEAN_TABLE[[#This Row],[Date]])</f>
        <v>2024</v>
      </c>
      <c r="O230" s="5">
        <f>IF(CLEAN_TABLE[[#This Row],[Farmer_Type]]="Smart",0,1)</f>
        <v>0</v>
      </c>
      <c r="P230" s="7">
        <f>IFERROR(CLEAN_TABLE[[#This Row],[Savings]]/CLEAN_TABLE[[#This Row],[Income]],0)</f>
        <v>0.47822064997509478</v>
      </c>
      <c r="Q230" s="7">
        <f>IF(CLEAN_TABLE[[#This Row],[Farmer_Type]]="Smart", 1 - (CLEAN_TABLE[[#This Row],[Irrigation]] / 70), 1 - (CLEAN_TABLE[[#This Row],[Irrigation]] / 150))</f>
        <v>0.75414285714285711</v>
      </c>
      <c r="R2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1497.02</v>
      </c>
    </row>
    <row r="231" spans="1:19">
      <c r="A231" s="6">
        <f>FARM_DATA[[#This Row],[Date]]</f>
        <v>45612</v>
      </c>
      <c r="B231" s="5" t="str">
        <f>FARM_DATA[[#This Row],[Farmer_Type]]</f>
        <v>Smart</v>
      </c>
      <c r="C231" s="8">
        <f>FARM_DATA[[#This Row],[Income]]</f>
        <v>1140.6300000000001</v>
      </c>
      <c r="D231" s="8">
        <f>FARM_DATA[[#This Row],[Irrigation]]</f>
        <v>16.440000000000001</v>
      </c>
      <c r="E231" s="8">
        <f>FARM_DATA[[#This Row],[Seeds]]</f>
        <v>47.75</v>
      </c>
      <c r="F231" s="8">
        <f>FARM_DATA[[#This Row],[Fertilizer]]</f>
        <v>90.85</v>
      </c>
      <c r="G231" s="8">
        <f>FARM_DATA[[#This Row],[Labor]]</f>
        <v>72.13</v>
      </c>
      <c r="H231" s="8">
        <f>FARM_DATA[[#This Row],[Household]]</f>
        <v>173.8</v>
      </c>
      <c r="I231" s="8">
        <f>FARM_DATA[[#This Row],[Medical]]</f>
        <v>21.7</v>
      </c>
      <c r="J231" s="8">
        <f>FARM_DATA[[#This Row],[Misc]]</f>
        <v>36.880000000000003</v>
      </c>
      <c r="K231" s="8">
        <f>FARM_DATA[[#This Row],[Total_Expenses]]</f>
        <v>459.54</v>
      </c>
      <c r="L231" s="30">
        <f>FARM_DATA[[#This Row],[Savings]]</f>
        <v>681.09</v>
      </c>
      <c r="M231" s="5" t="str">
        <f>TEXT(CLEAN_TABLE[[#This Row],[Date]], "mmm")</f>
        <v>Nov</v>
      </c>
      <c r="N231" s="5">
        <f>YEAR(CLEAN_TABLE[[#This Row],[Date]])</f>
        <v>2024</v>
      </c>
      <c r="O231" s="5">
        <f>IF(CLEAN_TABLE[[#This Row],[Farmer_Type]]="Smart",0,1)</f>
        <v>0</v>
      </c>
      <c r="P231" s="7">
        <f>IFERROR(CLEAN_TABLE[[#This Row],[Savings]]/CLEAN_TABLE[[#This Row],[Income]],0)</f>
        <v>0.59711738249914514</v>
      </c>
      <c r="Q231" s="7">
        <f>IF(CLEAN_TABLE[[#This Row],[Farmer_Type]]="Smart", 1 - (CLEAN_TABLE[[#This Row],[Irrigation]] / 70), 1 - (CLEAN_TABLE[[#This Row],[Irrigation]] / 150))</f>
        <v>0.76514285714285712</v>
      </c>
      <c r="R2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1600.1800000000003</v>
      </c>
    </row>
    <row r="232" spans="1:19">
      <c r="A232" s="6">
        <f>FARM_DATA[[#This Row],[Date]]</f>
        <v>45613</v>
      </c>
      <c r="B232" s="5" t="str">
        <f>FARM_DATA[[#This Row],[Farmer_Type]]</f>
        <v>Traditional</v>
      </c>
      <c r="C232" s="8">
        <f>FARM_DATA[[#This Row],[Income]]</f>
        <v>343.57</v>
      </c>
      <c r="D232" s="8">
        <f>FARM_DATA[[#This Row],[Irrigation]]</f>
        <v>51.18</v>
      </c>
      <c r="E232" s="8">
        <f>FARM_DATA[[#This Row],[Seeds]]</f>
        <v>31.77</v>
      </c>
      <c r="F232" s="8">
        <f>FARM_DATA[[#This Row],[Fertilizer]]</f>
        <v>56.86</v>
      </c>
      <c r="G232" s="8">
        <f>FARM_DATA[[#This Row],[Labor]]</f>
        <v>114</v>
      </c>
      <c r="H232" s="8">
        <f>FARM_DATA[[#This Row],[Household]]</f>
        <v>119.17</v>
      </c>
      <c r="I232" s="8">
        <f>FARM_DATA[[#This Row],[Medical]]</f>
        <v>30.13</v>
      </c>
      <c r="J232" s="8">
        <f>FARM_DATA[[#This Row],[Misc]]</f>
        <v>19.61</v>
      </c>
      <c r="K232" s="8">
        <f>FARM_DATA[[#This Row],[Total_Expenses]]</f>
        <v>422.71</v>
      </c>
      <c r="L232" s="30">
        <f>FARM_DATA[[#This Row],[Savings]]</f>
        <v>-79.13</v>
      </c>
      <c r="M232" s="5" t="str">
        <f>TEXT(CLEAN_TABLE[[#This Row],[Date]], "mmm")</f>
        <v>Nov</v>
      </c>
      <c r="N232" s="5">
        <f>YEAR(CLEAN_TABLE[[#This Row],[Date]])</f>
        <v>2024</v>
      </c>
      <c r="O232" s="5">
        <f>IF(CLEAN_TABLE[[#This Row],[Farmer_Type]]="Smart",0,1)</f>
        <v>1</v>
      </c>
      <c r="P232" s="7">
        <f>IFERROR(CLEAN_TABLE[[#This Row],[Savings]]/CLEAN_TABLE[[#This Row],[Income]],0)</f>
        <v>-0.2303169659749105</v>
      </c>
      <c r="Q232" s="7">
        <f>IF(CLEAN_TABLE[[#This Row],[Farmer_Type]]="Smart", 1 - (CLEAN_TABLE[[#This Row],[Irrigation]] / 70), 1 - (CLEAN_TABLE[[#This Row],[Irrigation]] / 150))</f>
        <v>0.65880000000000005</v>
      </c>
      <c r="R2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766.29</v>
      </c>
    </row>
    <row r="233" spans="1:19">
      <c r="A233" s="6">
        <f>FARM_DATA[[#This Row],[Date]]</f>
        <v>45614</v>
      </c>
      <c r="B233" s="5" t="str">
        <f>FARM_DATA[[#This Row],[Farmer_Type]]</f>
        <v>Smart</v>
      </c>
      <c r="C233" s="8">
        <f>FARM_DATA[[#This Row],[Income]]</f>
        <v>1143.8900000000001</v>
      </c>
      <c r="D233" s="8">
        <f>FARM_DATA[[#This Row],[Irrigation]]</f>
        <v>17.14</v>
      </c>
      <c r="E233" s="8">
        <f>FARM_DATA[[#This Row],[Seeds]]</f>
        <v>47.08</v>
      </c>
      <c r="F233" s="8">
        <f>FARM_DATA[[#This Row],[Fertilizer]]</f>
        <v>133.26</v>
      </c>
      <c r="G233" s="8">
        <f>FARM_DATA[[#This Row],[Labor]]</f>
        <v>71.13</v>
      </c>
      <c r="H233" s="8">
        <f>FARM_DATA[[#This Row],[Household]]</f>
        <v>202.17</v>
      </c>
      <c r="I233" s="8">
        <f>FARM_DATA[[#This Row],[Medical]]</f>
        <v>31.01</v>
      </c>
      <c r="J233" s="8">
        <f>FARM_DATA[[#This Row],[Misc]]</f>
        <v>29.94</v>
      </c>
      <c r="K233" s="8">
        <f>FARM_DATA[[#This Row],[Total_Expenses]]</f>
        <v>531.71</v>
      </c>
      <c r="L233" s="30">
        <f>FARM_DATA[[#This Row],[Savings]]</f>
        <v>612.17999999999995</v>
      </c>
      <c r="M233" s="5" t="str">
        <f>TEXT(CLEAN_TABLE[[#This Row],[Date]], "mmm")</f>
        <v>Nov</v>
      </c>
      <c r="N233" s="5">
        <f>YEAR(CLEAN_TABLE[[#This Row],[Date]])</f>
        <v>2024</v>
      </c>
      <c r="O233" s="5">
        <f>IF(CLEAN_TABLE[[#This Row],[Farmer_Type]]="Smart",0,1)</f>
        <v>0</v>
      </c>
      <c r="P233" s="7">
        <f>IFERROR(CLEAN_TABLE[[#This Row],[Savings]]/CLEAN_TABLE[[#This Row],[Income]],0)</f>
        <v>0.53517383664513185</v>
      </c>
      <c r="Q233" s="7">
        <f>IF(CLEAN_TABLE[[#This Row],[Farmer_Type]]="Smart", 1 - (CLEAN_TABLE[[#This Row],[Irrigation]] / 70), 1 - (CLEAN_TABLE[[#This Row],[Irrigation]] / 150))</f>
        <v>0.75514285714285712</v>
      </c>
      <c r="R2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1675.6200000000001</v>
      </c>
    </row>
    <row r="234" spans="1:19">
      <c r="A234" s="6">
        <f>FARM_DATA[[#This Row],[Date]]</f>
        <v>45615</v>
      </c>
      <c r="B234" s="5" t="str">
        <f>FARM_DATA[[#This Row],[Farmer_Type]]</f>
        <v>Smart</v>
      </c>
      <c r="C234" s="8">
        <f>FARM_DATA[[#This Row],[Income]]</f>
        <v>1228.49</v>
      </c>
      <c r="D234" s="8">
        <f>FARM_DATA[[#This Row],[Irrigation]]</f>
        <v>13.75</v>
      </c>
      <c r="E234" s="8">
        <f>FARM_DATA[[#This Row],[Seeds]]</f>
        <v>65.77</v>
      </c>
      <c r="F234" s="8">
        <f>FARM_DATA[[#This Row],[Fertilizer]]</f>
        <v>87.81</v>
      </c>
      <c r="G234" s="8">
        <f>FARM_DATA[[#This Row],[Labor]]</f>
        <v>92.31</v>
      </c>
      <c r="H234" s="8">
        <f>FARM_DATA[[#This Row],[Household]]</f>
        <v>198.38</v>
      </c>
      <c r="I234" s="8">
        <f>FARM_DATA[[#This Row],[Medical]]</f>
        <v>29.14</v>
      </c>
      <c r="J234" s="8">
        <f>FARM_DATA[[#This Row],[Misc]]</f>
        <v>13.77</v>
      </c>
      <c r="K234" s="8">
        <f>FARM_DATA[[#This Row],[Total_Expenses]]</f>
        <v>500.94</v>
      </c>
      <c r="L234" s="30">
        <f>FARM_DATA[[#This Row],[Savings]]</f>
        <v>727.55</v>
      </c>
      <c r="M234" s="5" t="str">
        <f>TEXT(CLEAN_TABLE[[#This Row],[Date]], "mmm")</f>
        <v>Nov</v>
      </c>
      <c r="N234" s="5">
        <f>YEAR(CLEAN_TABLE[[#This Row],[Date]])</f>
        <v>2024</v>
      </c>
      <c r="O234" s="5">
        <f>IF(CLEAN_TABLE[[#This Row],[Farmer_Type]]="Smart",0,1)</f>
        <v>0</v>
      </c>
      <c r="P234" s="7">
        <f>IFERROR(CLEAN_TABLE[[#This Row],[Savings]]/CLEAN_TABLE[[#This Row],[Income]],0)</f>
        <v>0.59223111299237274</v>
      </c>
      <c r="Q234" s="7">
        <f>IF(CLEAN_TABLE[[#This Row],[Farmer_Type]]="Smart", 1 - (CLEAN_TABLE[[#This Row],[Irrigation]] / 70), 1 - (CLEAN_TABLE[[#This Row],[Irrigation]] / 150))</f>
        <v>0.8035714285714286</v>
      </c>
      <c r="R2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1729.4199999999998</v>
      </c>
    </row>
    <row r="235" spans="1:19">
      <c r="A235" s="6">
        <f>FARM_DATA[[#This Row],[Date]]</f>
        <v>45616</v>
      </c>
      <c r="B235" s="5" t="str">
        <f>FARM_DATA[[#This Row],[Farmer_Type]]</f>
        <v>Traditional</v>
      </c>
      <c r="C235" s="8">
        <f>FARM_DATA[[#This Row],[Income]]</f>
        <v>415.22</v>
      </c>
      <c r="D235" s="8">
        <f>FARM_DATA[[#This Row],[Irrigation]]</f>
        <v>53.38</v>
      </c>
      <c r="E235" s="8">
        <f>FARM_DATA[[#This Row],[Seeds]]</f>
        <v>55.49</v>
      </c>
      <c r="F235" s="8">
        <f>FARM_DATA[[#This Row],[Fertilizer]]</f>
        <v>77.53</v>
      </c>
      <c r="G235" s="8">
        <f>FARM_DATA[[#This Row],[Labor]]</f>
        <v>82.73</v>
      </c>
      <c r="H235" s="8">
        <f>FARM_DATA[[#This Row],[Household]]</f>
        <v>137.68</v>
      </c>
      <c r="I235" s="8">
        <f>FARM_DATA[[#This Row],[Medical]]</f>
        <v>11.15</v>
      </c>
      <c r="J235" s="8">
        <f>FARM_DATA[[#This Row],[Misc]]</f>
        <v>27.42</v>
      </c>
      <c r="K235" s="8">
        <f>FARM_DATA[[#This Row],[Total_Expenses]]</f>
        <v>445.37</v>
      </c>
      <c r="L235" s="30">
        <f>FARM_DATA[[#This Row],[Savings]]</f>
        <v>-30.16</v>
      </c>
      <c r="M235" s="5" t="str">
        <f>TEXT(CLEAN_TABLE[[#This Row],[Date]], "mmm")</f>
        <v>Nov</v>
      </c>
      <c r="N235" s="5">
        <f>YEAR(CLEAN_TABLE[[#This Row],[Date]])</f>
        <v>2024</v>
      </c>
      <c r="O235" s="5">
        <f>IF(CLEAN_TABLE[[#This Row],[Farmer_Type]]="Smart",0,1)</f>
        <v>1</v>
      </c>
      <c r="P235" s="7">
        <f>IFERROR(CLEAN_TABLE[[#This Row],[Savings]]/CLEAN_TABLE[[#This Row],[Income]],0)</f>
        <v>-7.2636192861615531E-2</v>
      </c>
      <c r="Q235" s="7">
        <f>IF(CLEAN_TABLE[[#This Row],[Farmer_Type]]="Smart", 1 - (CLEAN_TABLE[[#This Row],[Irrigation]] / 70), 1 - (CLEAN_TABLE[[#This Row],[Irrigation]] / 150))</f>
        <v>0.64413333333333334</v>
      </c>
      <c r="R2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860.59999999999991</v>
      </c>
    </row>
    <row r="236" spans="1:19">
      <c r="A236" s="6">
        <f>FARM_DATA[[#This Row],[Date]]</f>
        <v>45617</v>
      </c>
      <c r="B236" s="5" t="str">
        <f>FARM_DATA[[#This Row],[Farmer_Type]]</f>
        <v>Traditional</v>
      </c>
      <c r="C236" s="8">
        <f>FARM_DATA[[#This Row],[Income]]</f>
        <v>334.6</v>
      </c>
      <c r="D236" s="8">
        <f>FARM_DATA[[#This Row],[Irrigation]]</f>
        <v>77.8</v>
      </c>
      <c r="E236" s="8">
        <f>FARM_DATA[[#This Row],[Seeds]]</f>
        <v>59.65</v>
      </c>
      <c r="F236" s="8">
        <f>FARM_DATA[[#This Row],[Fertilizer]]</f>
        <v>82.91</v>
      </c>
      <c r="G236" s="8">
        <f>FARM_DATA[[#This Row],[Labor]]</f>
        <v>95.95</v>
      </c>
      <c r="H236" s="8">
        <f>FARM_DATA[[#This Row],[Household]]</f>
        <v>143.72</v>
      </c>
      <c r="I236" s="8">
        <f>FARM_DATA[[#This Row],[Medical]]</f>
        <v>6.53</v>
      </c>
      <c r="J236" s="8">
        <f>FARM_DATA[[#This Row],[Misc]]</f>
        <v>20.329999999999998</v>
      </c>
      <c r="K236" s="8">
        <f>FARM_DATA[[#This Row],[Total_Expenses]]</f>
        <v>486.9</v>
      </c>
      <c r="L236" s="30">
        <f>FARM_DATA[[#This Row],[Savings]]</f>
        <v>-152.30000000000001</v>
      </c>
      <c r="M236" s="5" t="str">
        <f>TEXT(CLEAN_TABLE[[#This Row],[Date]], "mmm")</f>
        <v>Nov</v>
      </c>
      <c r="N236" s="5">
        <f>YEAR(CLEAN_TABLE[[#This Row],[Date]])</f>
        <v>2024</v>
      </c>
      <c r="O236" s="5">
        <f>IF(CLEAN_TABLE[[#This Row],[Farmer_Type]]="Smart",0,1)</f>
        <v>1</v>
      </c>
      <c r="P236" s="7">
        <f>IFERROR(CLEAN_TABLE[[#This Row],[Savings]]/CLEAN_TABLE[[#This Row],[Income]],0)</f>
        <v>-0.45517035265989242</v>
      </c>
      <c r="Q236" s="7">
        <f>IF(CLEAN_TABLE[[#This Row],[Farmer_Type]]="Smart", 1 - (CLEAN_TABLE[[#This Row],[Irrigation]] / 70), 1 - (CLEAN_TABLE[[#This Row],[Irrigation]] / 150))</f>
        <v>0.48133333333333339</v>
      </c>
      <c r="R2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821.49000000000012</v>
      </c>
    </row>
    <row r="237" spans="1:19">
      <c r="A237" s="6">
        <f>FARM_DATA[[#This Row],[Date]]</f>
        <v>45618</v>
      </c>
      <c r="B237" s="5" t="str">
        <f>FARM_DATA[[#This Row],[Farmer_Type]]</f>
        <v>Traditional</v>
      </c>
      <c r="C237" s="8">
        <f>FARM_DATA[[#This Row],[Income]]</f>
        <v>398.24</v>
      </c>
      <c r="D237" s="8">
        <f>FARM_DATA[[#This Row],[Irrigation]]</f>
        <v>86.16</v>
      </c>
      <c r="E237" s="8">
        <f>FARM_DATA[[#This Row],[Seeds]]</f>
        <v>21.48</v>
      </c>
      <c r="F237" s="8">
        <f>FARM_DATA[[#This Row],[Fertilizer]]</f>
        <v>43.15</v>
      </c>
      <c r="G237" s="8">
        <f>FARM_DATA[[#This Row],[Labor]]</f>
        <v>109.34</v>
      </c>
      <c r="H237" s="8">
        <f>FARM_DATA[[#This Row],[Household]]</f>
        <v>158.4</v>
      </c>
      <c r="I237" s="8">
        <f>FARM_DATA[[#This Row],[Medical]]</f>
        <v>13.52</v>
      </c>
      <c r="J237" s="8">
        <f>FARM_DATA[[#This Row],[Misc]]</f>
        <v>35.090000000000003</v>
      </c>
      <c r="K237" s="8">
        <f>FARM_DATA[[#This Row],[Total_Expenses]]</f>
        <v>467.15</v>
      </c>
      <c r="L237" s="30">
        <f>FARM_DATA[[#This Row],[Savings]]</f>
        <v>-68.91</v>
      </c>
      <c r="M237" s="5" t="str">
        <f>TEXT(CLEAN_TABLE[[#This Row],[Date]], "mmm")</f>
        <v>Nov</v>
      </c>
      <c r="N237" s="5">
        <f>YEAR(CLEAN_TABLE[[#This Row],[Date]])</f>
        <v>2024</v>
      </c>
      <c r="O237" s="5">
        <f>IF(CLEAN_TABLE[[#This Row],[Farmer_Type]]="Smart",0,1)</f>
        <v>1</v>
      </c>
      <c r="P237" s="7">
        <f>IFERROR(CLEAN_TABLE[[#This Row],[Savings]]/CLEAN_TABLE[[#This Row],[Income]],0)</f>
        <v>-0.17303635998392927</v>
      </c>
      <c r="Q237" s="7">
        <f>IF(CLEAN_TABLE[[#This Row],[Farmer_Type]]="Smart", 1 - (CLEAN_TABLE[[#This Row],[Irrigation]] / 70), 1 - (CLEAN_TABLE[[#This Row],[Irrigation]] / 150))</f>
        <v>0.42559999999999998</v>
      </c>
      <c r="R2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865.38</v>
      </c>
    </row>
    <row r="238" spans="1:19">
      <c r="A238" s="6">
        <f>FARM_DATA[[#This Row],[Date]]</f>
        <v>45619</v>
      </c>
      <c r="B238" s="5" t="str">
        <f>FARM_DATA[[#This Row],[Farmer_Type]]</f>
        <v>Smart</v>
      </c>
      <c r="C238" s="8">
        <f>FARM_DATA[[#This Row],[Income]]</f>
        <v>855.23</v>
      </c>
      <c r="D238" s="8">
        <f>FARM_DATA[[#This Row],[Irrigation]]</f>
        <v>14.93</v>
      </c>
      <c r="E238" s="8">
        <f>FARM_DATA[[#This Row],[Seeds]]</f>
        <v>70.930000000000007</v>
      </c>
      <c r="F238" s="8">
        <f>FARM_DATA[[#This Row],[Fertilizer]]</f>
        <v>80.19</v>
      </c>
      <c r="G238" s="8">
        <f>FARM_DATA[[#This Row],[Labor]]</f>
        <v>86.27</v>
      </c>
      <c r="H238" s="8">
        <f>FARM_DATA[[#This Row],[Household]]</f>
        <v>166.16</v>
      </c>
      <c r="I238" s="8">
        <f>FARM_DATA[[#This Row],[Medical]]</f>
        <v>21.2</v>
      </c>
      <c r="J238" s="8">
        <f>FARM_DATA[[#This Row],[Misc]]</f>
        <v>34.450000000000003</v>
      </c>
      <c r="K238" s="8">
        <f>FARM_DATA[[#This Row],[Total_Expenses]]</f>
        <v>474.14</v>
      </c>
      <c r="L238" s="30">
        <f>FARM_DATA[[#This Row],[Savings]]</f>
        <v>381.1</v>
      </c>
      <c r="M238" s="5" t="str">
        <f>TEXT(CLEAN_TABLE[[#This Row],[Date]], "mmm")</f>
        <v>Nov</v>
      </c>
      <c r="N238" s="5">
        <f>YEAR(CLEAN_TABLE[[#This Row],[Date]])</f>
        <v>2024</v>
      </c>
      <c r="O238" s="5">
        <f>IF(CLEAN_TABLE[[#This Row],[Farmer_Type]]="Smart",0,1)</f>
        <v>0</v>
      </c>
      <c r="P238" s="7">
        <f>IFERROR(CLEAN_TABLE[[#This Row],[Savings]]/CLEAN_TABLE[[#This Row],[Income]],0)</f>
        <v>0.44561112215427429</v>
      </c>
      <c r="Q238" s="7">
        <f>IF(CLEAN_TABLE[[#This Row],[Farmer_Type]]="Smart", 1 - (CLEAN_TABLE[[#This Row],[Irrigation]] / 70), 1 - (CLEAN_TABLE[[#This Row],[Irrigation]] / 150))</f>
        <v>0.7867142857142857</v>
      </c>
      <c r="R2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1329.3600000000001</v>
      </c>
    </row>
    <row r="239" spans="1:19">
      <c r="A239" s="6">
        <f>FARM_DATA[[#This Row],[Date]]</f>
        <v>45620</v>
      </c>
      <c r="B239" s="5" t="str">
        <f>FARM_DATA[[#This Row],[Farmer_Type]]</f>
        <v>Traditional</v>
      </c>
      <c r="C239" s="8">
        <f>FARM_DATA[[#This Row],[Income]]</f>
        <v>337.06</v>
      </c>
      <c r="D239" s="8">
        <f>FARM_DATA[[#This Row],[Irrigation]]</f>
        <v>85.99</v>
      </c>
      <c r="E239" s="8">
        <f>FARM_DATA[[#This Row],[Seeds]]</f>
        <v>48.41</v>
      </c>
      <c r="F239" s="8">
        <f>FARM_DATA[[#This Row],[Fertilizer]]</f>
        <v>49.09</v>
      </c>
      <c r="G239" s="8">
        <f>FARM_DATA[[#This Row],[Labor]]</f>
        <v>127.42</v>
      </c>
      <c r="H239" s="8">
        <f>FARM_DATA[[#This Row],[Household]]</f>
        <v>139.99</v>
      </c>
      <c r="I239" s="8">
        <f>FARM_DATA[[#This Row],[Medical]]</f>
        <v>29.38</v>
      </c>
      <c r="J239" s="8">
        <f>FARM_DATA[[#This Row],[Misc]]</f>
        <v>34.44</v>
      </c>
      <c r="K239" s="8">
        <f>FARM_DATA[[#This Row],[Total_Expenses]]</f>
        <v>514.72</v>
      </c>
      <c r="L239" s="30">
        <f>FARM_DATA[[#This Row],[Savings]]</f>
        <v>-177.66</v>
      </c>
      <c r="M239" s="5" t="str">
        <f>TEXT(CLEAN_TABLE[[#This Row],[Date]], "mmm")</f>
        <v>Nov</v>
      </c>
      <c r="N239" s="5">
        <f>YEAR(CLEAN_TABLE[[#This Row],[Date]])</f>
        <v>2024</v>
      </c>
      <c r="O239" s="5">
        <f>IF(CLEAN_TABLE[[#This Row],[Farmer_Type]]="Smart",0,1)</f>
        <v>1</v>
      </c>
      <c r="P239" s="7">
        <f>IFERROR(CLEAN_TABLE[[#This Row],[Savings]]/CLEAN_TABLE[[#This Row],[Income]],0)</f>
        <v>-0.52708716548982371</v>
      </c>
      <c r="Q239" s="7">
        <f>IF(CLEAN_TABLE[[#This Row],[Farmer_Type]]="Smart", 1 - (CLEAN_TABLE[[#This Row],[Irrigation]] / 70), 1 - (CLEAN_TABLE[[#This Row],[Irrigation]] / 150))</f>
        <v>0.42673333333333341</v>
      </c>
      <c r="R2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851.78</v>
      </c>
    </row>
    <row r="240" spans="1:19">
      <c r="A240" s="6">
        <f>FARM_DATA[[#This Row],[Date]]</f>
        <v>45621</v>
      </c>
      <c r="B240" s="5" t="str">
        <f>FARM_DATA[[#This Row],[Farmer_Type]]</f>
        <v>Traditional</v>
      </c>
      <c r="C240" s="8">
        <f>FARM_DATA[[#This Row],[Income]]</f>
        <v>344.63</v>
      </c>
      <c r="D240" s="8">
        <f>FARM_DATA[[#This Row],[Irrigation]]</f>
        <v>74.48</v>
      </c>
      <c r="E240" s="8">
        <f>FARM_DATA[[#This Row],[Seeds]]</f>
        <v>16.440000000000001</v>
      </c>
      <c r="F240" s="8">
        <f>FARM_DATA[[#This Row],[Fertilizer]]</f>
        <v>32.46</v>
      </c>
      <c r="G240" s="8">
        <f>FARM_DATA[[#This Row],[Labor]]</f>
        <v>80.150000000000006</v>
      </c>
      <c r="H240" s="8">
        <f>FARM_DATA[[#This Row],[Household]]</f>
        <v>154.29</v>
      </c>
      <c r="I240" s="8">
        <f>FARM_DATA[[#This Row],[Medical]]</f>
        <v>33.86</v>
      </c>
      <c r="J240" s="8">
        <f>FARM_DATA[[#This Row],[Misc]]</f>
        <v>56.78</v>
      </c>
      <c r="K240" s="8">
        <f>FARM_DATA[[#This Row],[Total_Expenses]]</f>
        <v>448.45</v>
      </c>
      <c r="L240" s="30">
        <f>FARM_DATA[[#This Row],[Savings]]</f>
        <v>-103.82</v>
      </c>
      <c r="M240" s="5" t="str">
        <f>TEXT(CLEAN_TABLE[[#This Row],[Date]], "mmm")</f>
        <v>Nov</v>
      </c>
      <c r="N240" s="5">
        <f>YEAR(CLEAN_TABLE[[#This Row],[Date]])</f>
        <v>2024</v>
      </c>
      <c r="O240" s="5">
        <f>IF(CLEAN_TABLE[[#This Row],[Farmer_Type]]="Smart",0,1)</f>
        <v>1</v>
      </c>
      <c r="P240" s="7">
        <f>IFERROR(CLEAN_TABLE[[#This Row],[Savings]]/CLEAN_TABLE[[#This Row],[Income]],0)</f>
        <v>-0.3012506166033137</v>
      </c>
      <c r="Q240" s="7">
        <f>IF(CLEAN_TABLE[[#This Row],[Farmer_Type]]="Smart", 1 - (CLEAN_TABLE[[#This Row],[Irrigation]] / 70), 1 - (CLEAN_TABLE[[#This Row],[Irrigation]] / 150))</f>
        <v>0.50346666666666662</v>
      </c>
      <c r="R2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793.08999999999992</v>
      </c>
    </row>
    <row r="241" spans="1:19">
      <c r="A241" s="6">
        <f>FARM_DATA[[#This Row],[Date]]</f>
        <v>45622</v>
      </c>
      <c r="B241" s="5" t="str">
        <f>FARM_DATA[[#This Row],[Farmer_Type]]</f>
        <v>Traditional</v>
      </c>
      <c r="C241" s="8">
        <f>FARM_DATA[[#This Row],[Income]]</f>
        <v>381.9</v>
      </c>
      <c r="D241" s="8">
        <f>FARM_DATA[[#This Row],[Irrigation]]</f>
        <v>75.010000000000005</v>
      </c>
      <c r="E241" s="8">
        <f>FARM_DATA[[#This Row],[Seeds]]</f>
        <v>12.98</v>
      </c>
      <c r="F241" s="8">
        <f>FARM_DATA[[#This Row],[Fertilizer]]</f>
        <v>44.15</v>
      </c>
      <c r="G241" s="8">
        <f>FARM_DATA[[#This Row],[Labor]]</f>
        <v>90.31</v>
      </c>
      <c r="H241" s="8">
        <f>FARM_DATA[[#This Row],[Household]]</f>
        <v>131.37</v>
      </c>
      <c r="I241" s="8">
        <f>FARM_DATA[[#This Row],[Medical]]</f>
        <v>18.649999999999999</v>
      </c>
      <c r="J241" s="8">
        <f>FARM_DATA[[#This Row],[Misc]]</f>
        <v>24.33</v>
      </c>
      <c r="K241" s="8">
        <f>FARM_DATA[[#This Row],[Total_Expenses]]</f>
        <v>396.81</v>
      </c>
      <c r="L241" s="30">
        <f>FARM_DATA[[#This Row],[Savings]]</f>
        <v>-14.91</v>
      </c>
      <c r="M241" s="5" t="str">
        <f>TEXT(CLEAN_TABLE[[#This Row],[Date]], "mmm")</f>
        <v>Nov</v>
      </c>
      <c r="N241" s="5">
        <f>YEAR(CLEAN_TABLE[[#This Row],[Date]])</f>
        <v>2024</v>
      </c>
      <c r="O241" s="5">
        <f>IF(CLEAN_TABLE[[#This Row],[Farmer_Type]]="Smart",0,1)</f>
        <v>1</v>
      </c>
      <c r="P241" s="7">
        <f>IFERROR(CLEAN_TABLE[[#This Row],[Savings]]/CLEAN_TABLE[[#This Row],[Income]],0)</f>
        <v>-3.9041633935585233E-2</v>
      </c>
      <c r="Q241" s="7">
        <f>IF(CLEAN_TABLE[[#This Row],[Farmer_Type]]="Smart", 1 - (CLEAN_TABLE[[#This Row],[Irrigation]] / 70), 1 - (CLEAN_TABLE[[#This Row],[Irrigation]] / 150))</f>
        <v>0.49993333333333334</v>
      </c>
      <c r="R2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778.69999999999993</v>
      </c>
    </row>
    <row r="242" spans="1:19">
      <c r="A242" s="6">
        <f>FARM_DATA[[#This Row],[Date]]</f>
        <v>45623</v>
      </c>
      <c r="B242" s="5" t="str">
        <f>FARM_DATA[[#This Row],[Farmer_Type]]</f>
        <v>Traditional</v>
      </c>
      <c r="C242" s="8">
        <f>FARM_DATA[[#This Row],[Income]]</f>
        <v>251.04</v>
      </c>
      <c r="D242" s="8">
        <f>FARM_DATA[[#This Row],[Irrigation]]</f>
        <v>77.48</v>
      </c>
      <c r="E242" s="8">
        <f>FARM_DATA[[#This Row],[Seeds]]</f>
        <v>23.91</v>
      </c>
      <c r="F242" s="8">
        <f>FARM_DATA[[#This Row],[Fertilizer]]</f>
        <v>59.78</v>
      </c>
      <c r="G242" s="8">
        <f>FARM_DATA[[#This Row],[Labor]]</f>
        <v>161.85</v>
      </c>
      <c r="H242" s="8">
        <f>FARM_DATA[[#This Row],[Household]]</f>
        <v>122.42</v>
      </c>
      <c r="I242" s="8">
        <f>FARM_DATA[[#This Row],[Medical]]</f>
        <v>-0.24</v>
      </c>
      <c r="J242" s="8">
        <f>FARM_DATA[[#This Row],[Misc]]</f>
        <v>26.57</v>
      </c>
      <c r="K242" s="8">
        <f>FARM_DATA[[#This Row],[Total_Expenses]]</f>
        <v>471.77</v>
      </c>
      <c r="L242" s="30">
        <f>FARM_DATA[[#This Row],[Savings]]</f>
        <v>-220.73</v>
      </c>
      <c r="M242" s="5" t="str">
        <f>TEXT(CLEAN_TABLE[[#This Row],[Date]], "mmm")</f>
        <v>Nov</v>
      </c>
      <c r="N242" s="5">
        <f>YEAR(CLEAN_TABLE[[#This Row],[Date]])</f>
        <v>2024</v>
      </c>
      <c r="O242" s="5">
        <f>IF(CLEAN_TABLE[[#This Row],[Farmer_Type]]="Smart",0,1)</f>
        <v>1</v>
      </c>
      <c r="P242" s="7">
        <f>IFERROR(CLEAN_TABLE[[#This Row],[Savings]]/CLEAN_TABLE[[#This Row],[Income]],0)</f>
        <v>-0.8792622689611217</v>
      </c>
      <c r="Q242" s="7">
        <f>IF(CLEAN_TABLE[[#This Row],[Farmer_Type]]="Smart", 1 - (CLEAN_TABLE[[#This Row],[Irrigation]] / 70), 1 - (CLEAN_TABLE[[#This Row],[Irrigation]] / 150))</f>
        <v>0.4834666666666666</v>
      </c>
      <c r="R2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722.81000000000006</v>
      </c>
    </row>
    <row r="243" spans="1:19">
      <c r="A243" s="6">
        <f>FARM_DATA[[#This Row],[Date]]</f>
        <v>45624</v>
      </c>
      <c r="B243" s="5" t="str">
        <f>FARM_DATA[[#This Row],[Farmer_Type]]</f>
        <v>Smart</v>
      </c>
      <c r="C243" s="8">
        <f>FARM_DATA[[#This Row],[Income]]</f>
        <v>1170.19</v>
      </c>
      <c r="D243" s="8">
        <f>FARM_DATA[[#This Row],[Irrigation]]</f>
        <v>24.79</v>
      </c>
      <c r="E243" s="8">
        <f>FARM_DATA[[#This Row],[Seeds]]</f>
        <v>35.409999999999997</v>
      </c>
      <c r="F243" s="8">
        <f>FARM_DATA[[#This Row],[Fertilizer]]</f>
        <v>94.9</v>
      </c>
      <c r="G243" s="8">
        <f>FARM_DATA[[#This Row],[Labor]]</f>
        <v>85.69</v>
      </c>
      <c r="H243" s="8">
        <f>FARM_DATA[[#This Row],[Household]]</f>
        <v>166.29</v>
      </c>
      <c r="I243" s="8">
        <f>FARM_DATA[[#This Row],[Medical]]</f>
        <v>45.8</v>
      </c>
      <c r="J243" s="8">
        <f>FARM_DATA[[#This Row],[Misc]]</f>
        <v>17.46</v>
      </c>
      <c r="K243" s="8">
        <f>FARM_DATA[[#This Row],[Total_Expenses]]</f>
        <v>470.34</v>
      </c>
      <c r="L243" s="30">
        <f>FARM_DATA[[#This Row],[Savings]]</f>
        <v>699.85</v>
      </c>
      <c r="M243" s="5" t="str">
        <f>TEXT(CLEAN_TABLE[[#This Row],[Date]], "mmm")</f>
        <v>Nov</v>
      </c>
      <c r="N243" s="5">
        <f>YEAR(CLEAN_TABLE[[#This Row],[Date]])</f>
        <v>2024</v>
      </c>
      <c r="O243" s="5">
        <f>IF(CLEAN_TABLE[[#This Row],[Farmer_Type]]="Smart",0,1)</f>
        <v>0</v>
      </c>
      <c r="P243" s="7">
        <f>IFERROR(CLEAN_TABLE[[#This Row],[Savings]]/CLEAN_TABLE[[#This Row],[Income]],0)</f>
        <v>0.59806527145164456</v>
      </c>
      <c r="Q243" s="7">
        <f>IF(CLEAN_TABLE[[#This Row],[Farmer_Type]]="Smart", 1 - (CLEAN_TABLE[[#This Row],[Irrigation]] / 70), 1 - (CLEAN_TABLE[[#This Row],[Irrigation]] / 150))</f>
        <v>0.64585714285714291</v>
      </c>
      <c r="R2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1640.5300000000002</v>
      </c>
    </row>
    <row r="244" spans="1:19">
      <c r="A244" s="6">
        <f>FARM_DATA[[#This Row],[Date]]</f>
        <v>45625</v>
      </c>
      <c r="B244" s="5" t="str">
        <f>FARM_DATA[[#This Row],[Farmer_Type]]</f>
        <v>Smart</v>
      </c>
      <c r="C244" s="8">
        <f>FARM_DATA[[#This Row],[Income]]</f>
        <v>1000.75</v>
      </c>
      <c r="D244" s="8">
        <f>FARM_DATA[[#This Row],[Irrigation]]</f>
        <v>17.34</v>
      </c>
      <c r="E244" s="8">
        <f>FARM_DATA[[#This Row],[Seeds]]</f>
        <v>81.72</v>
      </c>
      <c r="F244" s="8">
        <f>FARM_DATA[[#This Row],[Fertilizer]]</f>
        <v>82.94</v>
      </c>
      <c r="G244" s="8">
        <f>FARM_DATA[[#This Row],[Labor]]</f>
        <v>101.16</v>
      </c>
      <c r="H244" s="8">
        <f>FARM_DATA[[#This Row],[Household]]</f>
        <v>156.29</v>
      </c>
      <c r="I244" s="8">
        <f>FARM_DATA[[#This Row],[Medical]]</f>
        <v>24.42</v>
      </c>
      <c r="J244" s="8">
        <f>FARM_DATA[[#This Row],[Misc]]</f>
        <v>34.85</v>
      </c>
      <c r="K244" s="8">
        <f>FARM_DATA[[#This Row],[Total_Expenses]]</f>
        <v>498.72</v>
      </c>
      <c r="L244" s="30">
        <f>FARM_DATA[[#This Row],[Savings]]</f>
        <v>502.03</v>
      </c>
      <c r="M244" s="5" t="str">
        <f>TEXT(CLEAN_TABLE[[#This Row],[Date]], "mmm")</f>
        <v>Nov</v>
      </c>
      <c r="N244" s="5">
        <f>YEAR(CLEAN_TABLE[[#This Row],[Date]])</f>
        <v>2024</v>
      </c>
      <c r="O244" s="5">
        <f>IF(CLEAN_TABLE[[#This Row],[Farmer_Type]]="Smart",0,1)</f>
        <v>0</v>
      </c>
      <c r="P244" s="7">
        <f>IFERROR(CLEAN_TABLE[[#This Row],[Savings]]/CLEAN_TABLE[[#This Row],[Income]],0)</f>
        <v>0.50165375968023984</v>
      </c>
      <c r="Q244" s="7">
        <f>IF(CLEAN_TABLE[[#This Row],[Farmer_Type]]="Smart", 1 - (CLEAN_TABLE[[#This Row],[Irrigation]] / 70), 1 - (CLEAN_TABLE[[#This Row],[Irrigation]] / 150))</f>
        <v>0.75228571428571422</v>
      </c>
      <c r="R2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1499.47</v>
      </c>
    </row>
    <row r="245" spans="1:19">
      <c r="A245" s="6">
        <f>FARM_DATA[[#This Row],[Date]]</f>
        <v>45626</v>
      </c>
      <c r="B245" s="5" t="str">
        <f>FARM_DATA[[#This Row],[Farmer_Type]]</f>
        <v>Traditional</v>
      </c>
      <c r="C245" s="8">
        <f>FARM_DATA[[#This Row],[Income]]</f>
        <v>381.08</v>
      </c>
      <c r="D245" s="8">
        <f>FARM_DATA[[#This Row],[Irrigation]]</f>
        <v>66.3</v>
      </c>
      <c r="E245" s="8">
        <f>FARM_DATA[[#This Row],[Seeds]]</f>
        <v>45.66</v>
      </c>
      <c r="F245" s="8">
        <f>FARM_DATA[[#This Row],[Fertilizer]]</f>
        <v>54.41</v>
      </c>
      <c r="G245" s="8">
        <f>FARM_DATA[[#This Row],[Labor]]</f>
        <v>138.15</v>
      </c>
      <c r="H245" s="8">
        <f>FARM_DATA[[#This Row],[Household]]</f>
        <v>148.46</v>
      </c>
      <c r="I245" s="8">
        <f>FARM_DATA[[#This Row],[Medical]]</f>
        <v>5.82</v>
      </c>
      <c r="J245" s="8">
        <f>FARM_DATA[[#This Row],[Misc]]</f>
        <v>45.14</v>
      </c>
      <c r="K245" s="8">
        <f>FARM_DATA[[#This Row],[Total_Expenses]]</f>
        <v>503.94</v>
      </c>
      <c r="L245" s="30">
        <f>FARM_DATA[[#This Row],[Savings]]</f>
        <v>-122.86</v>
      </c>
      <c r="M245" s="5" t="str">
        <f>TEXT(CLEAN_TABLE[[#This Row],[Date]], "mmm")</f>
        <v>Nov</v>
      </c>
      <c r="N245" s="5">
        <f>YEAR(CLEAN_TABLE[[#This Row],[Date]])</f>
        <v>2024</v>
      </c>
      <c r="O245" s="5">
        <f>IF(CLEAN_TABLE[[#This Row],[Farmer_Type]]="Smart",0,1)</f>
        <v>1</v>
      </c>
      <c r="P245" s="7">
        <f>IFERROR(CLEAN_TABLE[[#This Row],[Savings]]/CLEAN_TABLE[[#This Row],[Income]],0)</f>
        <v>-0.32239949616878349</v>
      </c>
      <c r="Q245" s="7">
        <f>IF(CLEAN_TABLE[[#This Row],[Farmer_Type]]="Smart", 1 - (CLEAN_TABLE[[#This Row],[Irrigation]] / 70), 1 - (CLEAN_TABLE[[#This Row],[Irrigation]] / 150))</f>
        <v>0.55800000000000005</v>
      </c>
      <c r="R2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885.02</v>
      </c>
    </row>
    <row r="246" spans="1:19">
      <c r="A246" s="6">
        <f>FARM_DATA[[#This Row],[Date]]</f>
        <v>45627</v>
      </c>
      <c r="B246" s="5" t="str">
        <f>FARM_DATA[[#This Row],[Farmer_Type]]</f>
        <v>Smart</v>
      </c>
      <c r="C246" s="8">
        <f>FARM_DATA[[#This Row],[Income]]</f>
        <v>768.85</v>
      </c>
      <c r="D246" s="8">
        <f>FARM_DATA[[#This Row],[Irrigation]]</f>
        <v>11.73</v>
      </c>
      <c r="E246" s="8">
        <f>FARM_DATA[[#This Row],[Seeds]]</f>
        <v>48.09</v>
      </c>
      <c r="F246" s="8">
        <f>FARM_DATA[[#This Row],[Fertilizer]]</f>
        <v>121.23</v>
      </c>
      <c r="G246" s="8">
        <f>FARM_DATA[[#This Row],[Labor]]</f>
        <v>52.29</v>
      </c>
      <c r="H246" s="8">
        <f>FARM_DATA[[#This Row],[Household]]</f>
        <v>279.82</v>
      </c>
      <c r="I246" s="8">
        <f>FARM_DATA[[#This Row],[Medical]]</f>
        <v>31.5</v>
      </c>
      <c r="J246" s="8">
        <f>FARM_DATA[[#This Row],[Misc]]</f>
        <v>43.35</v>
      </c>
      <c r="K246" s="8">
        <f>FARM_DATA[[#This Row],[Total_Expenses]]</f>
        <v>588.01</v>
      </c>
      <c r="L246" s="30">
        <f>FARM_DATA[[#This Row],[Savings]]</f>
        <v>180.84</v>
      </c>
      <c r="M246" s="5" t="str">
        <f>TEXT(CLEAN_TABLE[[#This Row],[Date]], "mmm")</f>
        <v>Dec</v>
      </c>
      <c r="N246" s="5">
        <f>YEAR(CLEAN_TABLE[[#This Row],[Date]])</f>
        <v>2024</v>
      </c>
      <c r="O246" s="5">
        <f>IF(CLEAN_TABLE[[#This Row],[Farmer_Type]]="Smart",0,1)</f>
        <v>0</v>
      </c>
      <c r="P246" s="7">
        <f>IFERROR(CLEAN_TABLE[[#This Row],[Savings]]/CLEAN_TABLE[[#This Row],[Income]],0)</f>
        <v>0.23520842817194512</v>
      </c>
      <c r="Q246" s="7">
        <f>IF(CLEAN_TABLE[[#This Row],[Farmer_Type]]="Smart", 1 - (CLEAN_TABLE[[#This Row],[Irrigation]] / 70), 1 - (CLEAN_TABLE[[#This Row],[Irrigation]] / 150))</f>
        <v>0.83242857142857141</v>
      </c>
      <c r="R2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1356.86</v>
      </c>
    </row>
    <row r="247" spans="1:19">
      <c r="A247" s="6">
        <f>FARM_DATA[[#This Row],[Date]]</f>
        <v>45628</v>
      </c>
      <c r="B247" s="5" t="str">
        <f>FARM_DATA[[#This Row],[Farmer_Type]]</f>
        <v>Smart</v>
      </c>
      <c r="C247" s="8">
        <f>FARM_DATA[[#This Row],[Income]]</f>
        <v>939.02</v>
      </c>
      <c r="D247" s="8">
        <f>FARM_DATA[[#This Row],[Irrigation]]</f>
        <v>16.43</v>
      </c>
      <c r="E247" s="8">
        <f>FARM_DATA[[#This Row],[Seeds]]</f>
        <v>70.42</v>
      </c>
      <c r="F247" s="8">
        <f>FARM_DATA[[#This Row],[Fertilizer]]</f>
        <v>99.36</v>
      </c>
      <c r="G247" s="8">
        <f>FARM_DATA[[#This Row],[Labor]]</f>
        <v>106.11</v>
      </c>
      <c r="H247" s="8">
        <f>FARM_DATA[[#This Row],[Household]]</f>
        <v>173.14</v>
      </c>
      <c r="I247" s="8">
        <f>FARM_DATA[[#This Row],[Medical]]</f>
        <v>20.22</v>
      </c>
      <c r="J247" s="8">
        <f>FARM_DATA[[#This Row],[Misc]]</f>
        <v>37.729999999999997</v>
      </c>
      <c r="K247" s="8">
        <f>FARM_DATA[[#This Row],[Total_Expenses]]</f>
        <v>523.41</v>
      </c>
      <c r="L247" s="30">
        <f>FARM_DATA[[#This Row],[Savings]]</f>
        <v>415.61</v>
      </c>
      <c r="M247" s="5" t="str">
        <f>TEXT(CLEAN_TABLE[[#This Row],[Date]], "mmm")</f>
        <v>Dec</v>
      </c>
      <c r="N247" s="5">
        <f>YEAR(CLEAN_TABLE[[#This Row],[Date]])</f>
        <v>2024</v>
      </c>
      <c r="O247" s="5">
        <f>IF(CLEAN_TABLE[[#This Row],[Farmer_Type]]="Smart",0,1)</f>
        <v>0</v>
      </c>
      <c r="P247" s="7">
        <f>IFERROR(CLEAN_TABLE[[#This Row],[Savings]]/CLEAN_TABLE[[#This Row],[Income]],0)</f>
        <v>0.44259973163510896</v>
      </c>
      <c r="Q247" s="7">
        <f>IF(CLEAN_TABLE[[#This Row],[Farmer_Type]]="Smart", 1 - (CLEAN_TABLE[[#This Row],[Irrigation]] / 70), 1 - (CLEAN_TABLE[[#This Row],[Irrigation]] / 150))</f>
        <v>0.76528571428571435</v>
      </c>
      <c r="R2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1462.4299999999996</v>
      </c>
    </row>
    <row r="248" spans="1:19">
      <c r="A248" s="6">
        <f>FARM_DATA[[#This Row],[Date]]</f>
        <v>45629</v>
      </c>
      <c r="B248" s="5" t="str">
        <f>FARM_DATA[[#This Row],[Farmer_Type]]</f>
        <v>Smart</v>
      </c>
      <c r="C248" s="8">
        <f>FARM_DATA[[#This Row],[Income]]</f>
        <v>911.02</v>
      </c>
      <c r="D248" s="8">
        <f>FARM_DATA[[#This Row],[Irrigation]]</f>
        <v>20.67</v>
      </c>
      <c r="E248" s="8">
        <f>FARM_DATA[[#This Row],[Seeds]]</f>
        <v>71.87</v>
      </c>
      <c r="F248" s="8">
        <f>FARM_DATA[[#This Row],[Fertilizer]]</f>
        <v>-8.2100000000000009</v>
      </c>
      <c r="G248" s="8">
        <f>FARM_DATA[[#This Row],[Labor]]</f>
        <v>108.12</v>
      </c>
      <c r="H248" s="8">
        <f>FARM_DATA[[#This Row],[Household]]</f>
        <v>176.82</v>
      </c>
      <c r="I248" s="8">
        <f>FARM_DATA[[#This Row],[Medical]]</f>
        <v>21.83</v>
      </c>
      <c r="J248" s="8">
        <f>FARM_DATA[[#This Row],[Misc]]</f>
        <v>34.17</v>
      </c>
      <c r="K248" s="8">
        <f>FARM_DATA[[#This Row],[Total_Expenses]]</f>
        <v>425.27</v>
      </c>
      <c r="L248" s="30">
        <f>FARM_DATA[[#This Row],[Savings]]</f>
        <v>485.75</v>
      </c>
      <c r="M248" s="5" t="str">
        <f>TEXT(CLEAN_TABLE[[#This Row],[Date]], "mmm")</f>
        <v>Dec</v>
      </c>
      <c r="N248" s="5">
        <f>YEAR(CLEAN_TABLE[[#This Row],[Date]])</f>
        <v>2024</v>
      </c>
      <c r="O248" s="5">
        <f>IF(CLEAN_TABLE[[#This Row],[Farmer_Type]]="Smart",0,1)</f>
        <v>0</v>
      </c>
      <c r="P248" s="7">
        <f>IFERROR(CLEAN_TABLE[[#This Row],[Savings]]/CLEAN_TABLE[[#This Row],[Income]],0)</f>
        <v>0.53319356325876488</v>
      </c>
      <c r="Q248" s="7">
        <f>IF(CLEAN_TABLE[[#This Row],[Farmer_Type]]="Smart", 1 - (CLEAN_TABLE[[#This Row],[Irrigation]] / 70), 1 - (CLEAN_TABLE[[#This Row],[Irrigation]] / 150))</f>
        <v>0.70471428571428563</v>
      </c>
      <c r="R2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1336.2899999999997</v>
      </c>
    </row>
    <row r="249" spans="1:19">
      <c r="A249" s="6">
        <f>FARM_DATA[[#This Row],[Date]]</f>
        <v>45630</v>
      </c>
      <c r="B249" s="5" t="str">
        <f>FARM_DATA[[#This Row],[Farmer_Type]]</f>
        <v>Traditional</v>
      </c>
      <c r="C249" s="8">
        <f>FARM_DATA[[#This Row],[Income]]</f>
        <v>406.21</v>
      </c>
      <c r="D249" s="8">
        <f>FARM_DATA[[#This Row],[Irrigation]]</f>
        <v>79.48</v>
      </c>
      <c r="E249" s="8">
        <f>FARM_DATA[[#This Row],[Seeds]]</f>
        <v>28.41</v>
      </c>
      <c r="F249" s="8">
        <f>FARM_DATA[[#This Row],[Fertilizer]]</f>
        <v>63.14</v>
      </c>
      <c r="G249" s="8">
        <f>FARM_DATA[[#This Row],[Labor]]</f>
        <v>85.71</v>
      </c>
      <c r="H249" s="8">
        <f>FARM_DATA[[#This Row],[Household]]</f>
        <v>108.61</v>
      </c>
      <c r="I249" s="8">
        <f>FARM_DATA[[#This Row],[Medical]]</f>
        <v>14.99</v>
      </c>
      <c r="J249" s="8">
        <f>FARM_DATA[[#This Row],[Misc]]</f>
        <v>40.35</v>
      </c>
      <c r="K249" s="8">
        <f>FARM_DATA[[#This Row],[Total_Expenses]]</f>
        <v>420.68</v>
      </c>
      <c r="L249" s="30">
        <f>FARM_DATA[[#This Row],[Savings]]</f>
        <v>-14.47</v>
      </c>
      <c r="M249" s="5" t="str">
        <f>TEXT(CLEAN_TABLE[[#This Row],[Date]], "mmm")</f>
        <v>Dec</v>
      </c>
      <c r="N249" s="5">
        <f>YEAR(CLEAN_TABLE[[#This Row],[Date]])</f>
        <v>2024</v>
      </c>
      <c r="O249" s="5">
        <f>IF(CLEAN_TABLE[[#This Row],[Farmer_Type]]="Smart",0,1)</f>
        <v>1</v>
      </c>
      <c r="P249" s="7">
        <f>IFERROR(CLEAN_TABLE[[#This Row],[Savings]]/CLEAN_TABLE[[#This Row],[Income]],0)</f>
        <v>-3.5621968932325651E-2</v>
      </c>
      <c r="Q249" s="7">
        <f>IF(CLEAN_TABLE[[#This Row],[Farmer_Type]]="Smart", 1 - (CLEAN_TABLE[[#This Row],[Irrigation]] / 70), 1 - (CLEAN_TABLE[[#This Row],[Irrigation]] / 150))</f>
        <v>0.47013333333333329</v>
      </c>
      <c r="R2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826.90000000000009</v>
      </c>
    </row>
    <row r="250" spans="1:19">
      <c r="A250" s="6">
        <f>FARM_DATA[[#This Row],[Date]]</f>
        <v>45631</v>
      </c>
      <c r="B250" s="5" t="str">
        <f>FARM_DATA[[#This Row],[Farmer_Type]]</f>
        <v>Smart</v>
      </c>
      <c r="C250" s="8">
        <f>FARM_DATA[[#This Row],[Income]]</f>
        <v>1140.6300000000001</v>
      </c>
      <c r="D250" s="8">
        <f>FARM_DATA[[#This Row],[Irrigation]]</f>
        <v>17.57</v>
      </c>
      <c r="E250" s="8">
        <f>FARM_DATA[[#This Row],[Seeds]]</f>
        <v>74.5</v>
      </c>
      <c r="F250" s="8">
        <f>FARM_DATA[[#This Row],[Fertilizer]]</f>
        <v>95.49</v>
      </c>
      <c r="G250" s="8">
        <f>FARM_DATA[[#This Row],[Labor]]</f>
        <v>82.17</v>
      </c>
      <c r="H250" s="8">
        <f>FARM_DATA[[#This Row],[Household]]</f>
        <v>185.12</v>
      </c>
      <c r="I250" s="8">
        <f>FARM_DATA[[#This Row],[Medical]]</f>
        <v>29.2</v>
      </c>
      <c r="J250" s="8">
        <f>FARM_DATA[[#This Row],[Misc]]</f>
        <v>51.31</v>
      </c>
      <c r="K250" s="8">
        <f>FARM_DATA[[#This Row],[Total_Expenses]]</f>
        <v>535.36</v>
      </c>
      <c r="L250" s="30">
        <f>FARM_DATA[[#This Row],[Savings]]</f>
        <v>605.27</v>
      </c>
      <c r="M250" s="5" t="str">
        <f>TEXT(CLEAN_TABLE[[#This Row],[Date]], "mmm")</f>
        <v>Dec</v>
      </c>
      <c r="N250" s="5">
        <f>YEAR(CLEAN_TABLE[[#This Row],[Date]])</f>
        <v>2024</v>
      </c>
      <c r="O250" s="5">
        <f>IF(CLEAN_TABLE[[#This Row],[Farmer_Type]]="Smart",0,1)</f>
        <v>0</v>
      </c>
      <c r="P250" s="7">
        <f>IFERROR(CLEAN_TABLE[[#This Row],[Savings]]/CLEAN_TABLE[[#This Row],[Income]],0)</f>
        <v>0.53064534511629535</v>
      </c>
      <c r="Q250" s="7">
        <f>IF(CLEAN_TABLE[[#This Row],[Farmer_Type]]="Smart", 1 - (CLEAN_TABLE[[#This Row],[Irrigation]] / 70), 1 - (CLEAN_TABLE[[#This Row],[Irrigation]] / 150))</f>
        <v>0.749</v>
      </c>
      <c r="R2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1675.99</v>
      </c>
    </row>
    <row r="251" spans="1:19">
      <c r="A251" s="6">
        <f>FARM_DATA[[#This Row],[Date]]</f>
        <v>45632</v>
      </c>
      <c r="B251" s="5" t="str">
        <f>FARM_DATA[[#This Row],[Farmer_Type]]</f>
        <v>Traditional</v>
      </c>
      <c r="C251" s="8">
        <f>FARM_DATA[[#This Row],[Income]]</f>
        <v>409.45</v>
      </c>
      <c r="D251" s="8">
        <f>FARM_DATA[[#This Row],[Irrigation]]</f>
        <v>77.08</v>
      </c>
      <c r="E251" s="8">
        <f>FARM_DATA[[#This Row],[Seeds]]</f>
        <v>45.27</v>
      </c>
      <c r="F251" s="8">
        <f>FARM_DATA[[#This Row],[Fertilizer]]</f>
        <v>76.400000000000006</v>
      </c>
      <c r="G251" s="8">
        <f>FARM_DATA[[#This Row],[Labor]]</f>
        <v>109.34</v>
      </c>
      <c r="H251" s="8">
        <f>FARM_DATA[[#This Row],[Household]]</f>
        <v>123.54</v>
      </c>
      <c r="I251" s="8">
        <f>FARM_DATA[[#This Row],[Medical]]</f>
        <v>18.7</v>
      </c>
      <c r="J251" s="8">
        <f>FARM_DATA[[#This Row],[Misc]]</f>
        <v>21.06</v>
      </c>
      <c r="K251" s="8">
        <f>FARM_DATA[[#This Row],[Total_Expenses]]</f>
        <v>471.4</v>
      </c>
      <c r="L251" s="30">
        <f>FARM_DATA[[#This Row],[Savings]]</f>
        <v>-61.95</v>
      </c>
      <c r="M251" s="5" t="str">
        <f>TEXT(CLEAN_TABLE[[#This Row],[Date]], "mmm")</f>
        <v>Dec</v>
      </c>
      <c r="N251" s="5">
        <f>YEAR(CLEAN_TABLE[[#This Row],[Date]])</f>
        <v>2024</v>
      </c>
      <c r="O251" s="5">
        <f>IF(CLEAN_TABLE[[#This Row],[Farmer_Type]]="Smart",0,1)</f>
        <v>1</v>
      </c>
      <c r="P251" s="7">
        <f>IFERROR(CLEAN_TABLE[[#This Row],[Savings]]/CLEAN_TABLE[[#This Row],[Income]],0)</f>
        <v>-0.15130052509463915</v>
      </c>
      <c r="Q251" s="7">
        <f>IF(CLEAN_TABLE[[#This Row],[Farmer_Type]]="Smart", 1 - (CLEAN_TABLE[[#This Row],[Irrigation]] / 70), 1 - (CLEAN_TABLE[[#This Row],[Irrigation]] / 150))</f>
        <v>0.48613333333333331</v>
      </c>
      <c r="R2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880.83999999999992</v>
      </c>
    </row>
    <row r="252" spans="1:19">
      <c r="A252" s="6">
        <f>FARM_DATA[[#This Row],[Date]]</f>
        <v>45633</v>
      </c>
      <c r="B252" s="5" t="str">
        <f>FARM_DATA[[#This Row],[Farmer_Type]]</f>
        <v>Smart</v>
      </c>
      <c r="C252" s="8">
        <f>FARM_DATA[[#This Row],[Income]]</f>
        <v>814.96</v>
      </c>
      <c r="D252" s="8">
        <f>FARM_DATA[[#This Row],[Irrigation]]</f>
        <v>14.28</v>
      </c>
      <c r="E252" s="8">
        <f>FARM_DATA[[#This Row],[Seeds]]</f>
        <v>44.15</v>
      </c>
      <c r="F252" s="8">
        <f>FARM_DATA[[#This Row],[Fertilizer]]</f>
        <v>70.760000000000005</v>
      </c>
      <c r="G252" s="8">
        <f>FARM_DATA[[#This Row],[Labor]]</f>
        <v>57.13</v>
      </c>
      <c r="H252" s="8">
        <f>FARM_DATA[[#This Row],[Household]]</f>
        <v>177.47</v>
      </c>
      <c r="I252" s="8">
        <f>FARM_DATA[[#This Row],[Medical]]</f>
        <v>22.01</v>
      </c>
      <c r="J252" s="8">
        <f>FARM_DATA[[#This Row],[Misc]]</f>
        <v>27.74</v>
      </c>
      <c r="K252" s="8">
        <f>FARM_DATA[[#This Row],[Total_Expenses]]</f>
        <v>413.54</v>
      </c>
      <c r="L252" s="30">
        <f>FARM_DATA[[#This Row],[Savings]]</f>
        <v>401.43</v>
      </c>
      <c r="M252" s="5" t="str">
        <f>TEXT(CLEAN_TABLE[[#This Row],[Date]], "mmm")</f>
        <v>Dec</v>
      </c>
      <c r="N252" s="5">
        <f>YEAR(CLEAN_TABLE[[#This Row],[Date]])</f>
        <v>2024</v>
      </c>
      <c r="O252" s="5">
        <f>IF(CLEAN_TABLE[[#This Row],[Farmer_Type]]="Smart",0,1)</f>
        <v>0</v>
      </c>
      <c r="P252" s="7">
        <f>IFERROR(CLEAN_TABLE[[#This Row],[Savings]]/CLEAN_TABLE[[#This Row],[Income]],0)</f>
        <v>0.49257632276430746</v>
      </c>
      <c r="Q252" s="7">
        <f>IF(CLEAN_TABLE[[#This Row],[Farmer_Type]]="Smart", 1 - (CLEAN_TABLE[[#This Row],[Irrigation]] / 70), 1 - (CLEAN_TABLE[[#This Row],[Irrigation]] / 150))</f>
        <v>0.79600000000000004</v>
      </c>
      <c r="R2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1228.5</v>
      </c>
    </row>
    <row r="253" spans="1:19">
      <c r="A253" s="6">
        <f>FARM_DATA[[#This Row],[Date]]</f>
        <v>45634</v>
      </c>
      <c r="B253" s="5" t="str">
        <f>FARM_DATA[[#This Row],[Farmer_Type]]</f>
        <v>Traditional</v>
      </c>
      <c r="C253" s="8">
        <f>FARM_DATA[[#This Row],[Income]]</f>
        <v>382.96</v>
      </c>
      <c r="D253" s="8">
        <f>FARM_DATA[[#This Row],[Irrigation]]</f>
        <v>79.38</v>
      </c>
      <c r="E253" s="8">
        <f>FARM_DATA[[#This Row],[Seeds]]</f>
        <v>15.89</v>
      </c>
      <c r="F253" s="8">
        <f>FARM_DATA[[#This Row],[Fertilizer]]</f>
        <v>39.75</v>
      </c>
      <c r="G253" s="8">
        <f>FARM_DATA[[#This Row],[Labor]]</f>
        <v>90.77</v>
      </c>
      <c r="H253" s="8">
        <f>FARM_DATA[[#This Row],[Household]]</f>
        <v>121.8</v>
      </c>
      <c r="I253" s="8">
        <f>FARM_DATA[[#This Row],[Medical]]</f>
        <v>26.64</v>
      </c>
      <c r="J253" s="8">
        <f>FARM_DATA[[#This Row],[Misc]]</f>
        <v>27.67</v>
      </c>
      <c r="K253" s="8">
        <f>FARM_DATA[[#This Row],[Total_Expenses]]</f>
        <v>401.89</v>
      </c>
      <c r="L253" s="30">
        <f>FARM_DATA[[#This Row],[Savings]]</f>
        <v>-18.93</v>
      </c>
      <c r="M253" s="5" t="str">
        <f>TEXT(CLEAN_TABLE[[#This Row],[Date]], "mmm")</f>
        <v>Dec</v>
      </c>
      <c r="N253" s="5">
        <f>YEAR(CLEAN_TABLE[[#This Row],[Date]])</f>
        <v>2024</v>
      </c>
      <c r="O253" s="5">
        <f>IF(CLEAN_TABLE[[#This Row],[Farmer_Type]]="Smart",0,1)</f>
        <v>1</v>
      </c>
      <c r="P253" s="7">
        <f>IFERROR(CLEAN_TABLE[[#This Row],[Savings]]/CLEAN_TABLE[[#This Row],[Income]],0)</f>
        <v>-4.9430749947775229E-2</v>
      </c>
      <c r="Q253" s="7">
        <f>IF(CLEAN_TABLE[[#This Row],[Farmer_Type]]="Smart", 1 - (CLEAN_TABLE[[#This Row],[Irrigation]] / 70), 1 - (CLEAN_TABLE[[#This Row],[Irrigation]] / 150))</f>
        <v>0.4708</v>
      </c>
      <c r="R2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784.8599999999999</v>
      </c>
    </row>
    <row r="254" spans="1:19">
      <c r="A254" s="6">
        <f>FARM_DATA[[#This Row],[Date]]</f>
        <v>45635</v>
      </c>
      <c r="B254" s="5" t="str">
        <f>FARM_DATA[[#This Row],[Farmer_Type]]</f>
        <v>Smart</v>
      </c>
      <c r="C254" s="8">
        <f>FARM_DATA[[#This Row],[Income]]</f>
        <v>897.1</v>
      </c>
      <c r="D254" s="8">
        <f>FARM_DATA[[#This Row],[Irrigation]]</f>
        <v>4.9800000000000004</v>
      </c>
      <c r="E254" s="8">
        <f>FARM_DATA[[#This Row],[Seeds]]</f>
        <v>72.709999999999994</v>
      </c>
      <c r="F254" s="8">
        <f>FARM_DATA[[#This Row],[Fertilizer]]</f>
        <v>42.82</v>
      </c>
      <c r="G254" s="8">
        <f>FARM_DATA[[#This Row],[Labor]]</f>
        <v>96.2</v>
      </c>
      <c r="H254" s="8">
        <f>FARM_DATA[[#This Row],[Household]]</f>
        <v>179.71</v>
      </c>
      <c r="I254" s="8">
        <f>FARM_DATA[[#This Row],[Medical]]</f>
        <v>34.25</v>
      </c>
      <c r="J254" s="8">
        <f>FARM_DATA[[#This Row],[Misc]]</f>
        <v>20.37</v>
      </c>
      <c r="K254" s="8">
        <f>FARM_DATA[[#This Row],[Total_Expenses]]</f>
        <v>451.03</v>
      </c>
      <c r="L254" s="30">
        <f>FARM_DATA[[#This Row],[Savings]]</f>
        <v>446.07</v>
      </c>
      <c r="M254" s="5" t="str">
        <f>TEXT(CLEAN_TABLE[[#This Row],[Date]], "mmm")</f>
        <v>Dec</v>
      </c>
      <c r="N254" s="5">
        <f>YEAR(CLEAN_TABLE[[#This Row],[Date]])</f>
        <v>2024</v>
      </c>
      <c r="O254" s="5">
        <f>IF(CLEAN_TABLE[[#This Row],[Farmer_Type]]="Smart",0,1)</f>
        <v>0</v>
      </c>
      <c r="P254" s="7">
        <f>IFERROR(CLEAN_TABLE[[#This Row],[Savings]]/CLEAN_TABLE[[#This Row],[Income]],0)</f>
        <v>0.49723553672946158</v>
      </c>
      <c r="Q254" s="7">
        <f>IF(CLEAN_TABLE[[#This Row],[Farmer_Type]]="Smart", 1 - (CLEAN_TABLE[[#This Row],[Irrigation]] / 70), 1 - (CLEAN_TABLE[[#This Row],[Irrigation]] / 150))</f>
        <v>0.92885714285714283</v>
      </c>
      <c r="R2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1348.14</v>
      </c>
    </row>
    <row r="255" spans="1:19">
      <c r="A255" s="6">
        <f>FARM_DATA[[#This Row],[Date]]</f>
        <v>45636</v>
      </c>
      <c r="B255" s="5" t="str">
        <f>FARM_DATA[[#This Row],[Farmer_Type]]</f>
        <v>Traditional</v>
      </c>
      <c r="C255" s="8">
        <f>FARM_DATA[[#This Row],[Income]]</f>
        <v>199.02</v>
      </c>
      <c r="D255" s="8">
        <f>FARM_DATA[[#This Row],[Irrigation]]</f>
        <v>71.84</v>
      </c>
      <c r="E255" s="8">
        <f>FARM_DATA[[#This Row],[Seeds]]</f>
        <v>67.010000000000005</v>
      </c>
      <c r="F255" s="8">
        <f>FARM_DATA[[#This Row],[Fertilizer]]</f>
        <v>79.78</v>
      </c>
      <c r="G255" s="8">
        <f>FARM_DATA[[#This Row],[Labor]]</f>
        <v>115.24</v>
      </c>
      <c r="H255" s="8">
        <f>FARM_DATA[[#This Row],[Household]]</f>
        <v>135.25</v>
      </c>
      <c r="I255" s="8">
        <f>FARM_DATA[[#This Row],[Medical]]</f>
        <v>26.46</v>
      </c>
      <c r="J255" s="8">
        <f>FARM_DATA[[#This Row],[Misc]]</f>
        <v>18.32</v>
      </c>
      <c r="K255" s="8">
        <f>FARM_DATA[[#This Row],[Total_Expenses]]</f>
        <v>513.89</v>
      </c>
      <c r="L255" s="30">
        <f>FARM_DATA[[#This Row],[Savings]]</f>
        <v>-314.87</v>
      </c>
      <c r="M255" s="5" t="str">
        <f>TEXT(CLEAN_TABLE[[#This Row],[Date]], "mmm")</f>
        <v>Dec</v>
      </c>
      <c r="N255" s="5">
        <f>YEAR(CLEAN_TABLE[[#This Row],[Date]])</f>
        <v>2024</v>
      </c>
      <c r="O255" s="5">
        <f>IF(CLEAN_TABLE[[#This Row],[Farmer_Type]]="Smart",0,1)</f>
        <v>1</v>
      </c>
      <c r="P255" s="7">
        <f>IFERROR(CLEAN_TABLE[[#This Row],[Savings]]/CLEAN_TABLE[[#This Row],[Income]],0)</f>
        <v>-1.5821023012762536</v>
      </c>
      <c r="Q255" s="7">
        <f>IF(CLEAN_TABLE[[#This Row],[Farmer_Type]]="Smart", 1 - (CLEAN_TABLE[[#This Row],[Irrigation]] / 70), 1 - (CLEAN_TABLE[[#This Row],[Irrigation]] / 150))</f>
        <v>0.52106666666666657</v>
      </c>
      <c r="R2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712.92000000000007</v>
      </c>
    </row>
    <row r="256" spans="1:19">
      <c r="A256" s="6">
        <f>FARM_DATA[[#This Row],[Date]]</f>
        <v>45637</v>
      </c>
      <c r="B256" s="5" t="str">
        <f>FARM_DATA[[#This Row],[Farmer_Type]]</f>
        <v>Smart</v>
      </c>
      <c r="C256" s="8">
        <f>FARM_DATA[[#This Row],[Income]]</f>
        <v>1045.27</v>
      </c>
      <c r="D256" s="8">
        <f>FARM_DATA[[#This Row],[Irrigation]]</f>
        <v>17.53</v>
      </c>
      <c r="E256" s="8">
        <f>FARM_DATA[[#This Row],[Seeds]]</f>
        <v>81.2</v>
      </c>
      <c r="F256" s="8">
        <f>FARM_DATA[[#This Row],[Fertilizer]]</f>
        <v>162.79</v>
      </c>
      <c r="G256" s="8">
        <f>FARM_DATA[[#This Row],[Labor]]</f>
        <v>102.85</v>
      </c>
      <c r="H256" s="8">
        <f>FARM_DATA[[#This Row],[Household]]</f>
        <v>152.19</v>
      </c>
      <c r="I256" s="8">
        <f>FARM_DATA[[#This Row],[Medical]]</f>
        <v>21.77</v>
      </c>
      <c r="J256" s="8">
        <f>FARM_DATA[[#This Row],[Misc]]</f>
        <v>13.46</v>
      </c>
      <c r="K256" s="8">
        <f>FARM_DATA[[#This Row],[Total_Expenses]]</f>
        <v>551.79</v>
      </c>
      <c r="L256" s="30">
        <f>FARM_DATA[[#This Row],[Savings]]</f>
        <v>493.48</v>
      </c>
      <c r="M256" s="5" t="str">
        <f>TEXT(CLEAN_TABLE[[#This Row],[Date]], "mmm")</f>
        <v>Dec</v>
      </c>
      <c r="N256" s="5">
        <f>YEAR(CLEAN_TABLE[[#This Row],[Date]])</f>
        <v>2024</v>
      </c>
      <c r="O256" s="5">
        <f>IF(CLEAN_TABLE[[#This Row],[Farmer_Type]]="Smart",0,1)</f>
        <v>0</v>
      </c>
      <c r="P256" s="7">
        <f>IFERROR(CLEAN_TABLE[[#This Row],[Savings]]/CLEAN_TABLE[[#This Row],[Income]],0)</f>
        <v>0.47210768509571693</v>
      </c>
      <c r="Q256" s="7">
        <f>IF(CLEAN_TABLE[[#This Row],[Farmer_Type]]="Smart", 1 - (CLEAN_TABLE[[#This Row],[Irrigation]] / 70), 1 - (CLEAN_TABLE[[#This Row],[Irrigation]] / 150))</f>
        <v>0.74957142857142856</v>
      </c>
      <c r="R2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1597.06</v>
      </c>
    </row>
    <row r="257" spans="1:19">
      <c r="A257" s="6">
        <f>FARM_DATA[[#This Row],[Date]]</f>
        <v>45638</v>
      </c>
      <c r="B257" s="5" t="str">
        <f>FARM_DATA[[#This Row],[Farmer_Type]]</f>
        <v>Traditional</v>
      </c>
      <c r="C257" s="8">
        <f>FARM_DATA[[#This Row],[Income]]</f>
        <v>315.26</v>
      </c>
      <c r="D257" s="8">
        <f>FARM_DATA[[#This Row],[Irrigation]]</f>
        <v>65.91</v>
      </c>
      <c r="E257" s="8">
        <f>FARM_DATA[[#This Row],[Seeds]]</f>
        <v>32.14</v>
      </c>
      <c r="F257" s="8">
        <f>FARM_DATA[[#This Row],[Fertilizer]]</f>
        <v>58.05</v>
      </c>
      <c r="G257" s="8">
        <f>FARM_DATA[[#This Row],[Labor]]</f>
        <v>89.44</v>
      </c>
      <c r="H257" s="8">
        <f>FARM_DATA[[#This Row],[Household]]</f>
        <v>183.63</v>
      </c>
      <c r="I257" s="8">
        <f>FARM_DATA[[#This Row],[Medical]]</f>
        <v>20</v>
      </c>
      <c r="J257" s="8">
        <f>FARM_DATA[[#This Row],[Misc]]</f>
        <v>29.89</v>
      </c>
      <c r="K257" s="8">
        <f>FARM_DATA[[#This Row],[Total_Expenses]]</f>
        <v>479.05</v>
      </c>
      <c r="L257" s="30">
        <f>FARM_DATA[[#This Row],[Savings]]</f>
        <v>-163.79</v>
      </c>
      <c r="M257" s="5" t="str">
        <f>TEXT(CLEAN_TABLE[[#This Row],[Date]], "mmm")</f>
        <v>Dec</v>
      </c>
      <c r="N257" s="5">
        <f>YEAR(CLEAN_TABLE[[#This Row],[Date]])</f>
        <v>2024</v>
      </c>
      <c r="O257" s="5">
        <f>IF(CLEAN_TABLE[[#This Row],[Farmer_Type]]="Smart",0,1)</f>
        <v>1</v>
      </c>
      <c r="P257" s="7">
        <f>IFERROR(CLEAN_TABLE[[#This Row],[Savings]]/CLEAN_TABLE[[#This Row],[Income]],0)</f>
        <v>-0.51953942777390094</v>
      </c>
      <c r="Q257" s="7">
        <f>IF(CLEAN_TABLE[[#This Row],[Farmer_Type]]="Smart", 1 - (CLEAN_TABLE[[#This Row],[Irrigation]] / 70), 1 - (CLEAN_TABLE[[#This Row],[Irrigation]] / 150))</f>
        <v>0.56059999999999999</v>
      </c>
      <c r="R2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794.31999999999994</v>
      </c>
    </row>
    <row r="258" spans="1:19">
      <c r="A258" s="6">
        <f>FARM_DATA[[#This Row],[Date]]</f>
        <v>45639</v>
      </c>
      <c r="B258" s="5" t="str">
        <f>FARM_DATA[[#This Row],[Farmer_Type]]</f>
        <v>Traditional</v>
      </c>
      <c r="C258" s="8">
        <f>FARM_DATA[[#This Row],[Income]]</f>
        <v>333.61</v>
      </c>
      <c r="D258" s="8">
        <f>FARM_DATA[[#This Row],[Irrigation]]</f>
        <v>71.55</v>
      </c>
      <c r="E258" s="8">
        <f>FARM_DATA[[#This Row],[Seeds]]</f>
        <v>52.38</v>
      </c>
      <c r="F258" s="8">
        <f>FARM_DATA[[#This Row],[Fertilizer]]</f>
        <v>37.659999999999997</v>
      </c>
      <c r="G258" s="8">
        <f>FARM_DATA[[#This Row],[Labor]]</f>
        <v>93.55</v>
      </c>
      <c r="H258" s="8">
        <f>FARM_DATA[[#This Row],[Household]]</f>
        <v>140.88999999999999</v>
      </c>
      <c r="I258" s="8">
        <f>FARM_DATA[[#This Row],[Medical]]</f>
        <v>9.23</v>
      </c>
      <c r="J258" s="8">
        <f>FARM_DATA[[#This Row],[Misc]]</f>
        <v>20.170000000000002</v>
      </c>
      <c r="K258" s="8">
        <f>FARM_DATA[[#This Row],[Total_Expenses]]</f>
        <v>425.42</v>
      </c>
      <c r="L258" s="30">
        <f>FARM_DATA[[#This Row],[Savings]]</f>
        <v>-91.82</v>
      </c>
      <c r="M258" s="5" t="str">
        <f>TEXT(CLEAN_TABLE[[#This Row],[Date]], "mmm")</f>
        <v>Dec</v>
      </c>
      <c r="N258" s="5">
        <f>YEAR(CLEAN_TABLE[[#This Row],[Date]])</f>
        <v>2024</v>
      </c>
      <c r="O258" s="5">
        <f>IF(CLEAN_TABLE[[#This Row],[Farmer_Type]]="Smart",0,1)</f>
        <v>1</v>
      </c>
      <c r="P258" s="7">
        <f>IFERROR(CLEAN_TABLE[[#This Row],[Savings]]/CLEAN_TABLE[[#This Row],[Income]],0)</f>
        <v>-0.27523155780702013</v>
      </c>
      <c r="Q258" s="7">
        <f>IF(CLEAN_TABLE[[#This Row],[Farmer_Type]]="Smart", 1 - (CLEAN_TABLE[[#This Row],[Irrigation]] / 70), 1 - (CLEAN_TABLE[[#This Row],[Irrigation]] / 150))</f>
        <v>0.52300000000000002</v>
      </c>
      <c r="R2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759.04</v>
      </c>
    </row>
    <row r="259" spans="1:19">
      <c r="A259" s="6">
        <f>FARM_DATA[[#This Row],[Date]]</f>
        <v>45640</v>
      </c>
      <c r="B259" s="5" t="str">
        <f>FARM_DATA[[#This Row],[Farmer_Type]]</f>
        <v>Smart</v>
      </c>
      <c r="C259" s="8">
        <f>FARM_DATA[[#This Row],[Income]]</f>
        <v>854.76</v>
      </c>
      <c r="D259" s="8">
        <f>FARM_DATA[[#This Row],[Irrigation]]</f>
        <v>19.37</v>
      </c>
      <c r="E259" s="8">
        <f>FARM_DATA[[#This Row],[Seeds]]</f>
        <v>65.25</v>
      </c>
      <c r="F259" s="8">
        <f>FARM_DATA[[#This Row],[Fertilizer]]</f>
        <v>85.81</v>
      </c>
      <c r="G259" s="8">
        <f>FARM_DATA[[#This Row],[Labor]]</f>
        <v>112.02</v>
      </c>
      <c r="H259" s="8">
        <f>FARM_DATA[[#This Row],[Household]]</f>
        <v>165.19</v>
      </c>
      <c r="I259" s="8">
        <f>FARM_DATA[[#This Row],[Medical]]</f>
        <v>25.51</v>
      </c>
      <c r="J259" s="8">
        <f>FARM_DATA[[#This Row],[Misc]]</f>
        <v>38.450000000000003</v>
      </c>
      <c r="K259" s="8">
        <f>FARM_DATA[[#This Row],[Total_Expenses]]</f>
        <v>511.61</v>
      </c>
      <c r="L259" s="30">
        <f>FARM_DATA[[#This Row],[Savings]]</f>
        <v>343.15</v>
      </c>
      <c r="M259" s="5" t="str">
        <f>TEXT(CLEAN_TABLE[[#This Row],[Date]], "mmm")</f>
        <v>Dec</v>
      </c>
      <c r="N259" s="5">
        <f>YEAR(CLEAN_TABLE[[#This Row],[Date]])</f>
        <v>2024</v>
      </c>
      <c r="O259" s="5">
        <f>IF(CLEAN_TABLE[[#This Row],[Farmer_Type]]="Smart",0,1)</f>
        <v>0</v>
      </c>
      <c r="P259" s="7">
        <f>IFERROR(CLEAN_TABLE[[#This Row],[Savings]]/CLEAN_TABLE[[#This Row],[Income]],0)</f>
        <v>0.40145771912583644</v>
      </c>
      <c r="Q259" s="7">
        <f>IF(CLEAN_TABLE[[#This Row],[Farmer_Type]]="Smart", 1 - (CLEAN_TABLE[[#This Row],[Irrigation]] / 70), 1 - (CLEAN_TABLE[[#This Row],[Irrigation]] / 150))</f>
        <v>0.72328571428571431</v>
      </c>
      <c r="R2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1366.3600000000001</v>
      </c>
    </row>
    <row r="260" spans="1:19">
      <c r="A260" s="6">
        <f>FARM_DATA[[#This Row],[Date]]</f>
        <v>45641</v>
      </c>
      <c r="B260" s="5" t="str">
        <f>FARM_DATA[[#This Row],[Farmer_Type]]</f>
        <v>Traditional</v>
      </c>
      <c r="C260" s="8">
        <f>FARM_DATA[[#This Row],[Income]]</f>
        <v>363.27</v>
      </c>
      <c r="D260" s="8">
        <f>FARM_DATA[[#This Row],[Irrigation]]</f>
        <v>64.17</v>
      </c>
      <c r="E260" s="8">
        <f>FARM_DATA[[#This Row],[Seeds]]</f>
        <v>3.42</v>
      </c>
      <c r="F260" s="8">
        <f>FARM_DATA[[#This Row],[Fertilizer]]</f>
        <v>52.31</v>
      </c>
      <c r="G260" s="8">
        <f>FARM_DATA[[#This Row],[Labor]]</f>
        <v>145.57</v>
      </c>
      <c r="H260" s="8">
        <f>FARM_DATA[[#This Row],[Household]]</f>
        <v>177.79</v>
      </c>
      <c r="I260" s="8">
        <f>FARM_DATA[[#This Row],[Medical]]</f>
        <v>27.72</v>
      </c>
      <c r="J260" s="8">
        <f>FARM_DATA[[#This Row],[Misc]]</f>
        <v>44.83</v>
      </c>
      <c r="K260" s="8">
        <f>FARM_DATA[[#This Row],[Total_Expenses]]</f>
        <v>515.82000000000005</v>
      </c>
      <c r="L260" s="30">
        <f>FARM_DATA[[#This Row],[Savings]]</f>
        <v>-152.55000000000001</v>
      </c>
      <c r="M260" s="5" t="str">
        <f>TEXT(CLEAN_TABLE[[#This Row],[Date]], "mmm")</f>
        <v>Dec</v>
      </c>
      <c r="N260" s="5">
        <f>YEAR(CLEAN_TABLE[[#This Row],[Date]])</f>
        <v>2024</v>
      </c>
      <c r="O260" s="5">
        <f>IF(CLEAN_TABLE[[#This Row],[Farmer_Type]]="Smart",0,1)</f>
        <v>1</v>
      </c>
      <c r="P260" s="7">
        <f>IFERROR(CLEAN_TABLE[[#This Row],[Savings]]/CLEAN_TABLE[[#This Row],[Income]],0)</f>
        <v>-0.41993558510199031</v>
      </c>
      <c r="Q260" s="7">
        <f>IF(CLEAN_TABLE[[#This Row],[Farmer_Type]]="Smart", 1 - (CLEAN_TABLE[[#This Row],[Irrigation]] / 70), 1 - (CLEAN_TABLE[[#This Row],[Irrigation]] / 150))</f>
        <v>0.57220000000000004</v>
      </c>
      <c r="R2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879.08</v>
      </c>
    </row>
    <row r="261" spans="1:19">
      <c r="A261" s="6">
        <f>FARM_DATA[[#This Row],[Date]]</f>
        <v>45642</v>
      </c>
      <c r="B261" s="5" t="str">
        <f>FARM_DATA[[#This Row],[Farmer_Type]]</f>
        <v>Traditional</v>
      </c>
      <c r="C261" s="8">
        <f>FARM_DATA[[#This Row],[Income]]</f>
        <v>354.43</v>
      </c>
      <c r="D261" s="8">
        <f>FARM_DATA[[#This Row],[Irrigation]]</f>
        <v>71.97</v>
      </c>
      <c r="E261" s="8">
        <f>FARM_DATA[[#This Row],[Seeds]]</f>
        <v>30.74</v>
      </c>
      <c r="F261" s="8">
        <f>FARM_DATA[[#This Row],[Fertilizer]]</f>
        <v>48.68</v>
      </c>
      <c r="G261" s="8">
        <f>FARM_DATA[[#This Row],[Labor]]</f>
        <v>125.39</v>
      </c>
      <c r="H261" s="8">
        <f>FARM_DATA[[#This Row],[Household]]</f>
        <v>186.12</v>
      </c>
      <c r="I261" s="8">
        <f>FARM_DATA[[#This Row],[Medical]]</f>
        <v>18.88</v>
      </c>
      <c r="J261" s="8">
        <f>FARM_DATA[[#This Row],[Misc]]</f>
        <v>24.6</v>
      </c>
      <c r="K261" s="8">
        <f>FARM_DATA[[#This Row],[Total_Expenses]]</f>
        <v>506.38</v>
      </c>
      <c r="L261" s="30">
        <f>FARM_DATA[[#This Row],[Savings]]</f>
        <v>-151.94999999999999</v>
      </c>
      <c r="M261" s="5" t="str">
        <f>TEXT(CLEAN_TABLE[[#This Row],[Date]], "mmm")</f>
        <v>Dec</v>
      </c>
      <c r="N261" s="5">
        <f>YEAR(CLEAN_TABLE[[#This Row],[Date]])</f>
        <v>2024</v>
      </c>
      <c r="O261" s="5">
        <f>IF(CLEAN_TABLE[[#This Row],[Farmer_Type]]="Smart",0,1)</f>
        <v>1</v>
      </c>
      <c r="P261" s="7">
        <f>IFERROR(CLEAN_TABLE[[#This Row],[Savings]]/CLEAN_TABLE[[#This Row],[Income]],0)</f>
        <v>-0.42871653076771149</v>
      </c>
      <c r="Q261" s="7">
        <f>IF(CLEAN_TABLE[[#This Row],[Farmer_Type]]="Smart", 1 - (CLEAN_TABLE[[#This Row],[Irrigation]] / 70), 1 - (CLEAN_TABLE[[#This Row],[Irrigation]] / 150))</f>
        <v>0.5202</v>
      </c>
      <c r="R2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860.81000000000006</v>
      </c>
    </row>
    <row r="262" spans="1:19">
      <c r="A262" s="6">
        <f>FARM_DATA[[#This Row],[Date]]</f>
        <v>45643</v>
      </c>
      <c r="B262" s="5" t="str">
        <f>FARM_DATA[[#This Row],[Farmer_Type]]</f>
        <v>Traditional</v>
      </c>
      <c r="C262" s="8">
        <f>FARM_DATA[[#This Row],[Income]]</f>
        <v>350.03</v>
      </c>
      <c r="D262" s="8">
        <f>FARM_DATA[[#This Row],[Irrigation]]</f>
        <v>76.010000000000005</v>
      </c>
      <c r="E262" s="8">
        <f>FARM_DATA[[#This Row],[Seeds]]</f>
        <v>18.34</v>
      </c>
      <c r="F262" s="8">
        <f>FARM_DATA[[#This Row],[Fertilizer]]</f>
        <v>9.08</v>
      </c>
      <c r="G262" s="8">
        <f>FARM_DATA[[#This Row],[Labor]]</f>
        <v>96.24</v>
      </c>
      <c r="H262" s="8">
        <f>FARM_DATA[[#This Row],[Household]]</f>
        <v>113.38</v>
      </c>
      <c r="I262" s="8">
        <f>FARM_DATA[[#This Row],[Medical]]</f>
        <v>15.93</v>
      </c>
      <c r="J262" s="8">
        <f>FARM_DATA[[#This Row],[Misc]]</f>
        <v>28.23</v>
      </c>
      <c r="K262" s="8">
        <f>FARM_DATA[[#This Row],[Total_Expenses]]</f>
        <v>357.21</v>
      </c>
      <c r="L262" s="30">
        <f>FARM_DATA[[#This Row],[Savings]]</f>
        <v>-7.18</v>
      </c>
      <c r="M262" s="5" t="str">
        <f>TEXT(CLEAN_TABLE[[#This Row],[Date]], "mmm")</f>
        <v>Dec</v>
      </c>
      <c r="N262" s="5">
        <f>YEAR(CLEAN_TABLE[[#This Row],[Date]])</f>
        <v>2024</v>
      </c>
      <c r="O262" s="5">
        <f>IF(CLEAN_TABLE[[#This Row],[Farmer_Type]]="Smart",0,1)</f>
        <v>1</v>
      </c>
      <c r="P262" s="7">
        <f>IFERROR(CLEAN_TABLE[[#This Row],[Savings]]/CLEAN_TABLE[[#This Row],[Income]],0)</f>
        <v>-2.0512527497643061E-2</v>
      </c>
      <c r="Q262" s="7">
        <f>IF(CLEAN_TABLE[[#This Row],[Farmer_Type]]="Smart", 1 - (CLEAN_TABLE[[#This Row],[Irrigation]] / 70), 1 - (CLEAN_TABLE[[#This Row],[Irrigation]] / 150))</f>
        <v>0.49326666666666663</v>
      </c>
      <c r="R2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707.2399999999999</v>
      </c>
    </row>
    <row r="263" spans="1:19">
      <c r="A263" s="6">
        <f>FARM_DATA[[#This Row],[Date]]</f>
        <v>45644</v>
      </c>
      <c r="B263" s="5" t="str">
        <f>FARM_DATA[[#This Row],[Farmer_Type]]</f>
        <v>Smart</v>
      </c>
      <c r="C263" s="8">
        <f>FARM_DATA[[#This Row],[Income]]</f>
        <v>859.35</v>
      </c>
      <c r="D263" s="8">
        <f>FARM_DATA[[#This Row],[Irrigation]]</f>
        <v>22.26</v>
      </c>
      <c r="E263" s="8">
        <f>FARM_DATA[[#This Row],[Seeds]]</f>
        <v>66.53</v>
      </c>
      <c r="F263" s="8">
        <f>FARM_DATA[[#This Row],[Fertilizer]]</f>
        <v>89.01</v>
      </c>
      <c r="G263" s="8">
        <f>FARM_DATA[[#This Row],[Labor]]</f>
        <v>107.44</v>
      </c>
      <c r="H263" s="8">
        <f>FARM_DATA[[#This Row],[Household]]</f>
        <v>130.13999999999999</v>
      </c>
      <c r="I263" s="8">
        <f>FARM_DATA[[#This Row],[Medical]]</f>
        <v>31.35</v>
      </c>
      <c r="J263" s="8">
        <f>FARM_DATA[[#This Row],[Misc]]</f>
        <v>38.86</v>
      </c>
      <c r="K263" s="8">
        <f>FARM_DATA[[#This Row],[Total_Expenses]]</f>
        <v>485.61</v>
      </c>
      <c r="L263" s="30">
        <f>FARM_DATA[[#This Row],[Savings]]</f>
        <v>373.74</v>
      </c>
      <c r="M263" s="5" t="str">
        <f>TEXT(CLEAN_TABLE[[#This Row],[Date]], "mmm")</f>
        <v>Dec</v>
      </c>
      <c r="N263" s="5">
        <f>YEAR(CLEAN_TABLE[[#This Row],[Date]])</f>
        <v>2024</v>
      </c>
      <c r="O263" s="5">
        <f>IF(CLEAN_TABLE[[#This Row],[Farmer_Type]]="Smart",0,1)</f>
        <v>0</v>
      </c>
      <c r="P263" s="7">
        <f>IFERROR(CLEAN_TABLE[[#This Row],[Savings]]/CLEAN_TABLE[[#This Row],[Income]],0)</f>
        <v>0.43491010647582473</v>
      </c>
      <c r="Q263" s="7">
        <f>IF(CLEAN_TABLE[[#This Row],[Farmer_Type]]="Smart", 1 - (CLEAN_TABLE[[#This Row],[Irrigation]] / 70), 1 - (CLEAN_TABLE[[#This Row],[Irrigation]] / 150))</f>
        <v>0.68199999999999994</v>
      </c>
      <c r="R2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1344.9399999999998</v>
      </c>
    </row>
    <row r="264" spans="1:19">
      <c r="A264" s="6">
        <f>FARM_DATA[[#This Row],[Date]]</f>
        <v>45645</v>
      </c>
      <c r="B264" s="5" t="str">
        <f>FARM_DATA[[#This Row],[Farmer_Type]]</f>
        <v>Smart</v>
      </c>
      <c r="C264" s="8">
        <f>FARM_DATA[[#This Row],[Income]]</f>
        <v>1084.0999999999999</v>
      </c>
      <c r="D264" s="8">
        <f>FARM_DATA[[#This Row],[Irrigation]]</f>
        <v>9.64</v>
      </c>
      <c r="E264" s="8">
        <f>FARM_DATA[[#This Row],[Seeds]]</f>
        <v>28.92</v>
      </c>
      <c r="F264" s="8">
        <f>FARM_DATA[[#This Row],[Fertilizer]]</f>
        <v>104.54</v>
      </c>
      <c r="G264" s="8">
        <f>FARM_DATA[[#This Row],[Labor]]</f>
        <v>102.53</v>
      </c>
      <c r="H264" s="8">
        <f>FARM_DATA[[#This Row],[Household]]</f>
        <v>138.43</v>
      </c>
      <c r="I264" s="8">
        <f>FARM_DATA[[#This Row],[Medical]]</f>
        <v>14.17</v>
      </c>
      <c r="J264" s="8">
        <f>FARM_DATA[[#This Row],[Misc]]</f>
        <v>56.88</v>
      </c>
      <c r="K264" s="8">
        <f>FARM_DATA[[#This Row],[Total_Expenses]]</f>
        <v>455.11</v>
      </c>
      <c r="L264" s="30">
        <f>FARM_DATA[[#This Row],[Savings]]</f>
        <v>628.98</v>
      </c>
      <c r="M264" s="5" t="str">
        <f>TEXT(CLEAN_TABLE[[#This Row],[Date]], "mmm")</f>
        <v>Dec</v>
      </c>
      <c r="N264" s="5">
        <f>YEAR(CLEAN_TABLE[[#This Row],[Date]])</f>
        <v>2024</v>
      </c>
      <c r="O264" s="5">
        <f>IF(CLEAN_TABLE[[#This Row],[Farmer_Type]]="Smart",0,1)</f>
        <v>0</v>
      </c>
      <c r="P264" s="7">
        <f>IFERROR(CLEAN_TABLE[[#This Row],[Savings]]/CLEAN_TABLE[[#This Row],[Income]],0)</f>
        <v>0.58018632967438433</v>
      </c>
      <c r="Q264" s="7">
        <f>IF(CLEAN_TABLE[[#This Row],[Farmer_Type]]="Smart", 1 - (CLEAN_TABLE[[#This Row],[Irrigation]] / 70), 1 - (CLEAN_TABLE[[#This Row],[Irrigation]] / 150))</f>
        <v>0.86228571428571432</v>
      </c>
      <c r="R2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1539.2100000000003</v>
      </c>
    </row>
    <row r="265" spans="1:19">
      <c r="A265" s="6">
        <f>FARM_DATA[[#This Row],[Date]]</f>
        <v>45646</v>
      </c>
      <c r="B265" s="5" t="str">
        <f>FARM_DATA[[#This Row],[Farmer_Type]]</f>
        <v>Smart</v>
      </c>
      <c r="C265" s="8">
        <f>FARM_DATA[[#This Row],[Income]]</f>
        <v>712.12</v>
      </c>
      <c r="D265" s="8">
        <f>FARM_DATA[[#This Row],[Irrigation]]</f>
        <v>23.21</v>
      </c>
      <c r="E265" s="8">
        <f>FARM_DATA[[#This Row],[Seeds]]</f>
        <v>41.99</v>
      </c>
      <c r="F265" s="8">
        <f>FARM_DATA[[#This Row],[Fertilizer]]</f>
        <v>99.15</v>
      </c>
      <c r="G265" s="8">
        <f>FARM_DATA[[#This Row],[Labor]]</f>
        <v>88.43</v>
      </c>
      <c r="H265" s="8">
        <f>FARM_DATA[[#This Row],[Household]]</f>
        <v>191.11</v>
      </c>
      <c r="I265" s="8">
        <f>FARM_DATA[[#This Row],[Medical]]</f>
        <v>17.100000000000001</v>
      </c>
      <c r="J265" s="8">
        <f>FARM_DATA[[#This Row],[Misc]]</f>
        <v>37.56</v>
      </c>
      <c r="K265" s="8">
        <f>FARM_DATA[[#This Row],[Total_Expenses]]</f>
        <v>498.55</v>
      </c>
      <c r="L265" s="30">
        <f>FARM_DATA[[#This Row],[Savings]]</f>
        <v>213.56</v>
      </c>
      <c r="M265" s="5" t="str">
        <f>TEXT(CLEAN_TABLE[[#This Row],[Date]], "mmm")</f>
        <v>Dec</v>
      </c>
      <c r="N265" s="5">
        <f>YEAR(CLEAN_TABLE[[#This Row],[Date]])</f>
        <v>2024</v>
      </c>
      <c r="O265" s="5">
        <f>IF(CLEAN_TABLE[[#This Row],[Farmer_Type]]="Smart",0,1)</f>
        <v>0</v>
      </c>
      <c r="P265" s="7">
        <f>IFERROR(CLEAN_TABLE[[#This Row],[Savings]]/CLEAN_TABLE[[#This Row],[Income]],0)</f>
        <v>0.29989327641408753</v>
      </c>
      <c r="Q265" s="7">
        <f>IF(CLEAN_TABLE[[#This Row],[Farmer_Type]]="Smart", 1 - (CLEAN_TABLE[[#This Row],[Irrigation]] / 70), 1 - (CLEAN_TABLE[[#This Row],[Irrigation]] / 150))</f>
        <v>0.66842857142857137</v>
      </c>
      <c r="R2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1210.67</v>
      </c>
    </row>
    <row r="266" spans="1:19">
      <c r="A266" s="6">
        <f>FARM_DATA[[#This Row],[Date]]</f>
        <v>45647</v>
      </c>
      <c r="B266" s="5" t="str">
        <f>FARM_DATA[[#This Row],[Farmer_Type]]</f>
        <v>Traditional</v>
      </c>
      <c r="C266" s="8">
        <f>FARM_DATA[[#This Row],[Income]]</f>
        <v>352.05</v>
      </c>
      <c r="D266" s="8">
        <f>FARM_DATA[[#This Row],[Irrigation]]</f>
        <v>59.98</v>
      </c>
      <c r="E266" s="8">
        <f>FARM_DATA[[#This Row],[Seeds]]</f>
        <v>51.11</v>
      </c>
      <c r="F266" s="8">
        <f>FARM_DATA[[#This Row],[Fertilizer]]</f>
        <v>44.74</v>
      </c>
      <c r="G266" s="8">
        <f>FARM_DATA[[#This Row],[Labor]]</f>
        <v>104.29</v>
      </c>
      <c r="H266" s="8">
        <f>FARM_DATA[[#This Row],[Household]]</f>
        <v>120.17</v>
      </c>
      <c r="I266" s="8">
        <f>FARM_DATA[[#This Row],[Medical]]</f>
        <v>-0.5</v>
      </c>
      <c r="J266" s="8">
        <f>FARM_DATA[[#This Row],[Misc]]</f>
        <v>27.71</v>
      </c>
      <c r="K266" s="8">
        <f>FARM_DATA[[#This Row],[Total_Expenses]]</f>
        <v>407.49</v>
      </c>
      <c r="L266" s="30">
        <f>FARM_DATA[[#This Row],[Savings]]</f>
        <v>-55.44</v>
      </c>
      <c r="M266" s="5" t="str">
        <f>TEXT(CLEAN_TABLE[[#This Row],[Date]], "mmm")</f>
        <v>Dec</v>
      </c>
      <c r="N266" s="5">
        <f>YEAR(CLEAN_TABLE[[#This Row],[Date]])</f>
        <v>2024</v>
      </c>
      <c r="O266" s="5">
        <f>IF(CLEAN_TABLE[[#This Row],[Farmer_Type]]="Smart",0,1)</f>
        <v>1</v>
      </c>
      <c r="P266" s="7">
        <f>IFERROR(CLEAN_TABLE[[#This Row],[Savings]]/CLEAN_TABLE[[#This Row],[Income]],0)</f>
        <v>-0.15747763101832124</v>
      </c>
      <c r="Q266" s="7">
        <f>IF(CLEAN_TABLE[[#This Row],[Farmer_Type]]="Smart", 1 - (CLEAN_TABLE[[#This Row],[Irrigation]] / 70), 1 - (CLEAN_TABLE[[#This Row],[Irrigation]] / 150))</f>
        <v>0.60013333333333341</v>
      </c>
      <c r="R2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759.55000000000007</v>
      </c>
    </row>
    <row r="267" spans="1:19">
      <c r="A267" s="6">
        <f>FARM_DATA[[#This Row],[Date]]</f>
        <v>45648</v>
      </c>
      <c r="B267" s="5" t="str">
        <f>FARM_DATA[[#This Row],[Farmer_Type]]</f>
        <v>Smart</v>
      </c>
      <c r="C267" s="8">
        <f>FARM_DATA[[#This Row],[Income]]</f>
        <v>1432.52</v>
      </c>
      <c r="D267" s="8">
        <f>FARM_DATA[[#This Row],[Irrigation]]</f>
        <v>18.920000000000002</v>
      </c>
      <c r="E267" s="8">
        <f>FARM_DATA[[#This Row],[Seeds]]</f>
        <v>59.61</v>
      </c>
      <c r="F267" s="8">
        <f>FARM_DATA[[#This Row],[Fertilizer]]</f>
        <v>72.11</v>
      </c>
      <c r="G267" s="8">
        <f>FARM_DATA[[#This Row],[Labor]]</f>
        <v>95.45</v>
      </c>
      <c r="H267" s="8">
        <f>FARM_DATA[[#This Row],[Household]]</f>
        <v>189.15</v>
      </c>
      <c r="I267" s="8">
        <f>FARM_DATA[[#This Row],[Medical]]</f>
        <v>11.37</v>
      </c>
      <c r="J267" s="8">
        <f>FARM_DATA[[#This Row],[Misc]]</f>
        <v>56.71</v>
      </c>
      <c r="K267" s="8">
        <f>FARM_DATA[[#This Row],[Total_Expenses]]</f>
        <v>503.34</v>
      </c>
      <c r="L267" s="30">
        <f>FARM_DATA[[#This Row],[Savings]]</f>
        <v>929.19</v>
      </c>
      <c r="M267" s="5" t="str">
        <f>TEXT(CLEAN_TABLE[[#This Row],[Date]], "mmm")</f>
        <v>Dec</v>
      </c>
      <c r="N267" s="5">
        <f>YEAR(CLEAN_TABLE[[#This Row],[Date]])</f>
        <v>2024</v>
      </c>
      <c r="O267" s="5">
        <f>IF(CLEAN_TABLE[[#This Row],[Farmer_Type]]="Smart",0,1)</f>
        <v>0</v>
      </c>
      <c r="P267" s="7">
        <f>IFERROR(CLEAN_TABLE[[#This Row],[Savings]]/CLEAN_TABLE[[#This Row],[Income]],0)</f>
        <v>0.64864015860162516</v>
      </c>
      <c r="Q267" s="7">
        <f>IF(CLEAN_TABLE[[#This Row],[Farmer_Type]]="Smart", 1 - (CLEAN_TABLE[[#This Row],[Irrigation]] / 70), 1 - (CLEAN_TABLE[[#This Row],[Irrigation]] / 150))</f>
        <v>0.72971428571428576</v>
      </c>
      <c r="R2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1935.84</v>
      </c>
    </row>
    <row r="268" spans="1:19">
      <c r="A268" s="6">
        <f>FARM_DATA[[#This Row],[Date]]</f>
        <v>45649</v>
      </c>
      <c r="B268" s="5" t="str">
        <f>FARM_DATA[[#This Row],[Farmer_Type]]</f>
        <v>Smart</v>
      </c>
      <c r="C268" s="8">
        <f>FARM_DATA[[#This Row],[Income]]</f>
        <v>1093.08</v>
      </c>
      <c r="D268" s="8">
        <f>FARM_DATA[[#This Row],[Irrigation]]</f>
        <v>18.59</v>
      </c>
      <c r="E268" s="8">
        <f>FARM_DATA[[#This Row],[Seeds]]</f>
        <v>68.77</v>
      </c>
      <c r="F268" s="8">
        <f>FARM_DATA[[#This Row],[Fertilizer]]</f>
        <v>80.59</v>
      </c>
      <c r="G268" s="8">
        <f>FARM_DATA[[#This Row],[Labor]]</f>
        <v>108.46</v>
      </c>
      <c r="H268" s="8">
        <f>FARM_DATA[[#This Row],[Household]]</f>
        <v>190.71</v>
      </c>
      <c r="I268" s="8">
        <f>FARM_DATA[[#This Row],[Medical]]</f>
        <v>18.809999999999999</v>
      </c>
      <c r="J268" s="8">
        <f>FARM_DATA[[#This Row],[Misc]]</f>
        <v>31.4</v>
      </c>
      <c r="K268" s="8">
        <f>FARM_DATA[[#This Row],[Total_Expenses]]</f>
        <v>517.33000000000004</v>
      </c>
      <c r="L268" s="30">
        <f>FARM_DATA[[#This Row],[Savings]]</f>
        <v>575.75</v>
      </c>
      <c r="M268" s="5" t="str">
        <f>TEXT(CLEAN_TABLE[[#This Row],[Date]], "mmm")</f>
        <v>Dec</v>
      </c>
      <c r="N268" s="5">
        <f>YEAR(CLEAN_TABLE[[#This Row],[Date]])</f>
        <v>2024</v>
      </c>
      <c r="O268" s="5">
        <f>IF(CLEAN_TABLE[[#This Row],[Farmer_Type]]="Smart",0,1)</f>
        <v>0</v>
      </c>
      <c r="P268" s="7">
        <f>IFERROR(CLEAN_TABLE[[#This Row],[Savings]]/CLEAN_TABLE[[#This Row],[Income]],0)</f>
        <v>0.52672265524938711</v>
      </c>
      <c r="Q268" s="7">
        <f>IF(CLEAN_TABLE[[#This Row],[Farmer_Type]]="Smart", 1 - (CLEAN_TABLE[[#This Row],[Irrigation]] / 70), 1 - (CLEAN_TABLE[[#This Row],[Irrigation]] / 150))</f>
        <v>0.73442857142857143</v>
      </c>
      <c r="R2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1610.4099999999999</v>
      </c>
    </row>
    <row r="269" spans="1:19">
      <c r="A269" s="6">
        <f>FARM_DATA[[#This Row],[Date]]</f>
        <v>45650</v>
      </c>
      <c r="B269" s="5" t="str">
        <f>FARM_DATA[[#This Row],[Farmer_Type]]</f>
        <v>Traditional</v>
      </c>
      <c r="C269" s="8">
        <f>FARM_DATA[[#This Row],[Income]]</f>
        <v>355.09</v>
      </c>
      <c r="D269" s="8">
        <f>FARM_DATA[[#This Row],[Irrigation]]</f>
        <v>85.49</v>
      </c>
      <c r="E269" s="8">
        <f>FARM_DATA[[#This Row],[Seeds]]</f>
        <v>21.41</v>
      </c>
      <c r="F269" s="8">
        <f>FARM_DATA[[#This Row],[Fertilizer]]</f>
        <v>25.65</v>
      </c>
      <c r="G269" s="8">
        <f>FARM_DATA[[#This Row],[Labor]]</f>
        <v>114.12</v>
      </c>
      <c r="H269" s="8">
        <f>FARM_DATA[[#This Row],[Household]]</f>
        <v>151.53</v>
      </c>
      <c r="I269" s="8">
        <f>FARM_DATA[[#This Row],[Medical]]</f>
        <v>21.39</v>
      </c>
      <c r="J269" s="8">
        <f>FARM_DATA[[#This Row],[Misc]]</f>
        <v>32.93</v>
      </c>
      <c r="K269" s="8">
        <f>FARM_DATA[[#This Row],[Total_Expenses]]</f>
        <v>452.51</v>
      </c>
      <c r="L269" s="30">
        <f>FARM_DATA[[#This Row],[Savings]]</f>
        <v>-97.42</v>
      </c>
      <c r="M269" s="5" t="str">
        <f>TEXT(CLEAN_TABLE[[#This Row],[Date]], "mmm")</f>
        <v>Dec</v>
      </c>
      <c r="N269" s="5">
        <f>YEAR(CLEAN_TABLE[[#This Row],[Date]])</f>
        <v>2024</v>
      </c>
      <c r="O269" s="5">
        <f>IF(CLEAN_TABLE[[#This Row],[Farmer_Type]]="Smart",0,1)</f>
        <v>1</v>
      </c>
      <c r="P269" s="7">
        <f>IFERROR(CLEAN_TABLE[[#This Row],[Savings]]/CLEAN_TABLE[[#This Row],[Income]],0)</f>
        <v>-0.27435298093441102</v>
      </c>
      <c r="Q269" s="7">
        <f>IF(CLEAN_TABLE[[#This Row],[Farmer_Type]]="Smart", 1 - (CLEAN_TABLE[[#This Row],[Irrigation]] / 70), 1 - (CLEAN_TABLE[[#This Row],[Irrigation]] / 150))</f>
        <v>0.43006666666666671</v>
      </c>
      <c r="R2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807.6099999999999</v>
      </c>
    </row>
    <row r="270" spans="1:19">
      <c r="A270" s="6">
        <f>FARM_DATA[[#This Row],[Date]]</f>
        <v>45651</v>
      </c>
      <c r="B270" s="5" t="str">
        <f>FARM_DATA[[#This Row],[Farmer_Type]]</f>
        <v>Traditional</v>
      </c>
      <c r="C270" s="8">
        <f>FARM_DATA[[#This Row],[Income]]</f>
        <v>338.84</v>
      </c>
      <c r="D270" s="8">
        <f>FARM_DATA[[#This Row],[Irrigation]]</f>
        <v>84.9</v>
      </c>
      <c r="E270" s="8">
        <f>FARM_DATA[[#This Row],[Seeds]]</f>
        <v>15.99</v>
      </c>
      <c r="F270" s="8">
        <f>FARM_DATA[[#This Row],[Fertilizer]]</f>
        <v>38.43</v>
      </c>
      <c r="G270" s="8">
        <f>FARM_DATA[[#This Row],[Labor]]</f>
        <v>107.42</v>
      </c>
      <c r="H270" s="8">
        <f>FARM_DATA[[#This Row],[Household]]</f>
        <v>100.7</v>
      </c>
      <c r="I270" s="8">
        <f>FARM_DATA[[#This Row],[Medical]]</f>
        <v>18.59</v>
      </c>
      <c r="J270" s="8">
        <f>FARM_DATA[[#This Row],[Misc]]</f>
        <v>49.94</v>
      </c>
      <c r="K270" s="8">
        <f>FARM_DATA[[#This Row],[Total_Expenses]]</f>
        <v>415.97</v>
      </c>
      <c r="L270" s="30">
        <f>FARM_DATA[[#This Row],[Savings]]</f>
        <v>-77.13</v>
      </c>
      <c r="M270" s="5" t="str">
        <f>TEXT(CLEAN_TABLE[[#This Row],[Date]], "mmm")</f>
        <v>Dec</v>
      </c>
      <c r="N270" s="5">
        <f>YEAR(CLEAN_TABLE[[#This Row],[Date]])</f>
        <v>2024</v>
      </c>
      <c r="O270" s="5">
        <f>IF(CLEAN_TABLE[[#This Row],[Farmer_Type]]="Smart",0,1)</f>
        <v>1</v>
      </c>
      <c r="P270" s="7">
        <f>IFERROR(CLEAN_TABLE[[#This Row],[Savings]]/CLEAN_TABLE[[#This Row],[Income]],0)</f>
        <v>-0.2276295596741825</v>
      </c>
      <c r="Q270" s="7">
        <f>IF(CLEAN_TABLE[[#This Row],[Farmer_Type]]="Smart", 1 - (CLEAN_TABLE[[#This Row],[Irrigation]] / 70), 1 - (CLEAN_TABLE[[#This Row],[Irrigation]] / 150))</f>
        <v>0.43399999999999994</v>
      </c>
      <c r="R2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754.81000000000017</v>
      </c>
    </row>
    <row r="271" spans="1:19">
      <c r="A271" s="6">
        <f>FARM_DATA[[#This Row],[Date]]</f>
        <v>45652</v>
      </c>
      <c r="B271" s="5" t="str">
        <f>FARM_DATA[[#This Row],[Farmer_Type]]</f>
        <v>Smart</v>
      </c>
      <c r="C271" s="8">
        <f>FARM_DATA[[#This Row],[Income]]</f>
        <v>954.18</v>
      </c>
      <c r="D271" s="8">
        <f>FARM_DATA[[#This Row],[Irrigation]]</f>
        <v>16.149999999999999</v>
      </c>
      <c r="E271" s="8">
        <f>FARM_DATA[[#This Row],[Seeds]]</f>
        <v>34.799999999999997</v>
      </c>
      <c r="F271" s="8">
        <f>FARM_DATA[[#This Row],[Fertilizer]]</f>
        <v>61.51</v>
      </c>
      <c r="G271" s="8">
        <f>FARM_DATA[[#This Row],[Labor]]</f>
        <v>87.5</v>
      </c>
      <c r="H271" s="8">
        <f>FARM_DATA[[#This Row],[Household]]</f>
        <v>158.88</v>
      </c>
      <c r="I271" s="8">
        <f>FARM_DATA[[#This Row],[Medical]]</f>
        <v>33.53</v>
      </c>
      <c r="J271" s="8">
        <f>FARM_DATA[[#This Row],[Misc]]</f>
        <v>48.37</v>
      </c>
      <c r="K271" s="8">
        <f>FARM_DATA[[#This Row],[Total_Expenses]]</f>
        <v>440.74</v>
      </c>
      <c r="L271" s="30">
        <f>FARM_DATA[[#This Row],[Savings]]</f>
        <v>513.44000000000005</v>
      </c>
      <c r="M271" s="5" t="str">
        <f>TEXT(CLEAN_TABLE[[#This Row],[Date]], "mmm")</f>
        <v>Dec</v>
      </c>
      <c r="N271" s="5">
        <f>YEAR(CLEAN_TABLE[[#This Row],[Date]])</f>
        <v>2024</v>
      </c>
      <c r="O271" s="5">
        <f>IF(CLEAN_TABLE[[#This Row],[Farmer_Type]]="Smart",0,1)</f>
        <v>0</v>
      </c>
      <c r="P271" s="7">
        <f>IFERROR(CLEAN_TABLE[[#This Row],[Savings]]/CLEAN_TABLE[[#This Row],[Income]],0)</f>
        <v>0.5380955375296067</v>
      </c>
      <c r="Q271" s="7">
        <f>IF(CLEAN_TABLE[[#This Row],[Farmer_Type]]="Smart", 1 - (CLEAN_TABLE[[#This Row],[Irrigation]] / 70), 1 - (CLEAN_TABLE[[#This Row],[Irrigation]] / 150))</f>
        <v>0.76928571428571435</v>
      </c>
      <c r="R2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1394.9199999999998</v>
      </c>
    </row>
    <row r="272" spans="1:19">
      <c r="A272" s="6">
        <f>FARM_DATA[[#This Row],[Date]]</f>
        <v>45653</v>
      </c>
      <c r="B272" s="5" t="str">
        <f>FARM_DATA[[#This Row],[Farmer_Type]]</f>
        <v>Smart</v>
      </c>
      <c r="C272" s="8">
        <f>FARM_DATA[[#This Row],[Income]]</f>
        <v>727.71</v>
      </c>
      <c r="D272" s="8">
        <f>FARM_DATA[[#This Row],[Irrigation]]</f>
        <v>16.23</v>
      </c>
      <c r="E272" s="8">
        <f>FARM_DATA[[#This Row],[Seeds]]</f>
        <v>69.959999999999994</v>
      </c>
      <c r="F272" s="8">
        <f>FARM_DATA[[#This Row],[Fertilizer]]</f>
        <v>114.2</v>
      </c>
      <c r="G272" s="8">
        <f>FARM_DATA[[#This Row],[Labor]]</f>
        <v>126.61</v>
      </c>
      <c r="H272" s="8">
        <f>FARM_DATA[[#This Row],[Household]]</f>
        <v>134.47</v>
      </c>
      <c r="I272" s="8">
        <f>FARM_DATA[[#This Row],[Medical]]</f>
        <v>14.7</v>
      </c>
      <c r="J272" s="8">
        <f>FARM_DATA[[#This Row],[Misc]]</f>
        <v>21.14</v>
      </c>
      <c r="K272" s="8">
        <f>FARM_DATA[[#This Row],[Total_Expenses]]</f>
        <v>497.32</v>
      </c>
      <c r="L272" s="30">
        <f>FARM_DATA[[#This Row],[Savings]]</f>
        <v>230.39</v>
      </c>
      <c r="M272" s="5" t="str">
        <f>TEXT(CLEAN_TABLE[[#This Row],[Date]], "mmm")</f>
        <v>Dec</v>
      </c>
      <c r="N272" s="5">
        <f>YEAR(CLEAN_TABLE[[#This Row],[Date]])</f>
        <v>2024</v>
      </c>
      <c r="O272" s="5">
        <f>IF(CLEAN_TABLE[[#This Row],[Farmer_Type]]="Smart",0,1)</f>
        <v>0</v>
      </c>
      <c r="P272" s="7">
        <f>IFERROR(CLEAN_TABLE[[#This Row],[Savings]]/CLEAN_TABLE[[#This Row],[Income]],0)</f>
        <v>0.31659589671709881</v>
      </c>
      <c r="Q272" s="7">
        <f>IF(CLEAN_TABLE[[#This Row],[Farmer_Type]]="Smart", 1 - (CLEAN_TABLE[[#This Row],[Irrigation]] / 70), 1 - (CLEAN_TABLE[[#This Row],[Irrigation]] / 150))</f>
        <v>0.76814285714285713</v>
      </c>
      <c r="R2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1225.0200000000002</v>
      </c>
    </row>
    <row r="273" spans="1:19">
      <c r="A273" s="6">
        <f>FARM_DATA[[#This Row],[Date]]</f>
        <v>45654</v>
      </c>
      <c r="B273" s="5" t="str">
        <f>FARM_DATA[[#This Row],[Farmer_Type]]</f>
        <v>Traditional</v>
      </c>
      <c r="C273" s="8">
        <f>FARM_DATA[[#This Row],[Income]]</f>
        <v>338.3</v>
      </c>
      <c r="D273" s="8">
        <f>FARM_DATA[[#This Row],[Irrigation]]</f>
        <v>74.66</v>
      </c>
      <c r="E273" s="8">
        <f>FARM_DATA[[#This Row],[Seeds]]</f>
        <v>54.81</v>
      </c>
      <c r="F273" s="8">
        <f>FARM_DATA[[#This Row],[Fertilizer]]</f>
        <v>53.48</v>
      </c>
      <c r="G273" s="8">
        <f>FARM_DATA[[#This Row],[Labor]]</f>
        <v>102</v>
      </c>
      <c r="H273" s="8">
        <f>FARM_DATA[[#This Row],[Household]]</f>
        <v>154.55000000000001</v>
      </c>
      <c r="I273" s="8">
        <f>FARM_DATA[[#This Row],[Medical]]</f>
        <v>13.32</v>
      </c>
      <c r="J273" s="8">
        <f>FARM_DATA[[#This Row],[Misc]]</f>
        <v>55.07</v>
      </c>
      <c r="K273" s="8">
        <f>FARM_DATA[[#This Row],[Total_Expenses]]</f>
        <v>507.9</v>
      </c>
      <c r="L273" s="30">
        <f>FARM_DATA[[#This Row],[Savings]]</f>
        <v>-169.61</v>
      </c>
      <c r="M273" s="5" t="str">
        <f>TEXT(CLEAN_TABLE[[#This Row],[Date]], "mmm")</f>
        <v>Dec</v>
      </c>
      <c r="N273" s="5">
        <f>YEAR(CLEAN_TABLE[[#This Row],[Date]])</f>
        <v>2024</v>
      </c>
      <c r="O273" s="5">
        <f>IF(CLEAN_TABLE[[#This Row],[Farmer_Type]]="Smart",0,1)</f>
        <v>1</v>
      </c>
      <c r="P273" s="7">
        <f>IFERROR(CLEAN_TABLE[[#This Row],[Savings]]/CLEAN_TABLE[[#This Row],[Income]],0)</f>
        <v>-0.50135973987584981</v>
      </c>
      <c r="Q273" s="7">
        <f>IF(CLEAN_TABLE[[#This Row],[Farmer_Type]]="Smart", 1 - (CLEAN_TABLE[[#This Row],[Irrigation]] / 70), 1 - (CLEAN_TABLE[[#This Row],[Irrigation]] / 150))</f>
        <v>0.50226666666666664</v>
      </c>
      <c r="R2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846.19</v>
      </c>
    </row>
    <row r="274" spans="1:19">
      <c r="A274" s="6">
        <f>FARM_DATA[[#This Row],[Date]]</f>
        <v>45655</v>
      </c>
      <c r="B274" s="5" t="str">
        <f>FARM_DATA[[#This Row],[Farmer_Type]]</f>
        <v>Smart</v>
      </c>
      <c r="C274" s="8">
        <f>FARM_DATA[[#This Row],[Income]]</f>
        <v>628.47</v>
      </c>
      <c r="D274" s="8">
        <f>FARM_DATA[[#This Row],[Irrigation]]</f>
        <v>15.92</v>
      </c>
      <c r="E274" s="8">
        <f>FARM_DATA[[#This Row],[Seeds]]</f>
        <v>100.47</v>
      </c>
      <c r="F274" s="8">
        <f>FARM_DATA[[#This Row],[Fertilizer]]</f>
        <v>80.2</v>
      </c>
      <c r="G274" s="8">
        <f>FARM_DATA[[#This Row],[Labor]]</f>
        <v>91.2</v>
      </c>
      <c r="H274" s="8">
        <f>FARM_DATA[[#This Row],[Household]]</f>
        <v>157.49</v>
      </c>
      <c r="I274" s="8">
        <f>FARM_DATA[[#This Row],[Medical]]</f>
        <v>20.38</v>
      </c>
      <c r="J274" s="8">
        <f>FARM_DATA[[#This Row],[Misc]]</f>
        <v>60.59</v>
      </c>
      <c r="K274" s="8">
        <f>FARM_DATA[[#This Row],[Total_Expenses]]</f>
        <v>526.26</v>
      </c>
      <c r="L274" s="30">
        <f>FARM_DATA[[#This Row],[Savings]]</f>
        <v>102.21</v>
      </c>
      <c r="M274" s="5" t="str">
        <f>TEXT(CLEAN_TABLE[[#This Row],[Date]], "mmm")</f>
        <v>Dec</v>
      </c>
      <c r="N274" s="5">
        <f>YEAR(CLEAN_TABLE[[#This Row],[Date]])</f>
        <v>2024</v>
      </c>
      <c r="O274" s="5">
        <f>IF(CLEAN_TABLE[[#This Row],[Farmer_Type]]="Smart",0,1)</f>
        <v>0</v>
      </c>
      <c r="P274" s="7">
        <f>IFERROR(CLEAN_TABLE[[#This Row],[Savings]]/CLEAN_TABLE[[#This Row],[Income]],0)</f>
        <v>0.16263306124397345</v>
      </c>
      <c r="Q274" s="7">
        <f>IF(CLEAN_TABLE[[#This Row],[Farmer_Type]]="Smart", 1 - (CLEAN_TABLE[[#This Row],[Irrigation]] / 70), 1 - (CLEAN_TABLE[[#This Row],[Irrigation]] / 150))</f>
        <v>0.77257142857142858</v>
      </c>
      <c r="R2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2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1154.72</v>
      </c>
    </row>
    <row r="275" spans="1:19">
      <c r="A275" s="6">
        <f>FARM_DATA[[#This Row],[Date]]</f>
        <v>45656</v>
      </c>
      <c r="B275" s="5" t="str">
        <f>FARM_DATA[[#This Row],[Farmer_Type]]</f>
        <v>Smart</v>
      </c>
      <c r="C275" s="8">
        <f>FARM_DATA[[#This Row],[Income]]</f>
        <v>507.63</v>
      </c>
      <c r="D275" s="8">
        <f>FARM_DATA[[#This Row],[Irrigation]]</f>
        <v>22.67</v>
      </c>
      <c r="E275" s="8">
        <f>FARM_DATA[[#This Row],[Seeds]]</f>
        <v>31.52</v>
      </c>
      <c r="F275" s="8">
        <f>FARM_DATA[[#This Row],[Fertilizer]]</f>
        <v>72</v>
      </c>
      <c r="G275" s="8">
        <f>FARM_DATA[[#This Row],[Labor]]</f>
        <v>86.42</v>
      </c>
      <c r="H275" s="8">
        <f>FARM_DATA[[#This Row],[Household]]</f>
        <v>190.6</v>
      </c>
      <c r="I275" s="8">
        <f>FARM_DATA[[#This Row],[Medical]]</f>
        <v>7.62</v>
      </c>
      <c r="J275" s="8">
        <f>FARM_DATA[[#This Row],[Misc]]</f>
        <v>46.93</v>
      </c>
      <c r="K275" s="8">
        <f>FARM_DATA[[#This Row],[Total_Expenses]]</f>
        <v>457.75</v>
      </c>
      <c r="L275" s="30">
        <f>FARM_DATA[[#This Row],[Savings]]</f>
        <v>49.88</v>
      </c>
      <c r="M275" s="5" t="str">
        <f>TEXT(CLEAN_TABLE[[#This Row],[Date]], "mmm")</f>
        <v>Dec</v>
      </c>
      <c r="N275" s="5">
        <f>YEAR(CLEAN_TABLE[[#This Row],[Date]])</f>
        <v>2024</v>
      </c>
      <c r="O275" s="5">
        <f>IF(CLEAN_TABLE[[#This Row],[Farmer_Type]]="Smart",0,1)</f>
        <v>0</v>
      </c>
      <c r="P275" s="7">
        <f>IFERROR(CLEAN_TABLE[[#This Row],[Savings]]/CLEAN_TABLE[[#This Row],[Income]],0)</f>
        <v>9.8260544097078587E-2</v>
      </c>
      <c r="Q275" s="7">
        <f>IF(CLEAN_TABLE[[#This Row],[Farmer_Type]]="Smart", 1 - (CLEAN_TABLE[[#This Row],[Irrigation]] / 70), 1 - (CLEAN_TABLE[[#This Row],[Irrigation]] / 150))</f>
        <v>0.67614285714285716</v>
      </c>
      <c r="R2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2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965.38999999999987</v>
      </c>
    </row>
    <row r="276" spans="1:19">
      <c r="A276" s="6">
        <f>FARM_DATA[[#This Row],[Date]]</f>
        <v>45657</v>
      </c>
      <c r="B276" s="5" t="str">
        <f>FARM_DATA[[#This Row],[Farmer_Type]]</f>
        <v>Traditional</v>
      </c>
      <c r="C276" s="8">
        <f>FARM_DATA[[#This Row],[Income]]</f>
        <v>451.22</v>
      </c>
      <c r="D276" s="8">
        <f>FARM_DATA[[#This Row],[Irrigation]]</f>
        <v>56.37</v>
      </c>
      <c r="E276" s="8">
        <f>FARM_DATA[[#This Row],[Seeds]]</f>
        <v>42.85</v>
      </c>
      <c r="F276" s="8">
        <f>FARM_DATA[[#This Row],[Fertilizer]]</f>
        <v>41.76</v>
      </c>
      <c r="G276" s="8">
        <f>FARM_DATA[[#This Row],[Labor]]</f>
        <v>120.65</v>
      </c>
      <c r="H276" s="8">
        <f>FARM_DATA[[#This Row],[Household]]</f>
        <v>150.57</v>
      </c>
      <c r="I276" s="8">
        <f>FARM_DATA[[#This Row],[Medical]]</f>
        <v>14.87</v>
      </c>
      <c r="J276" s="8">
        <f>FARM_DATA[[#This Row],[Misc]]</f>
        <v>35.85</v>
      </c>
      <c r="K276" s="8">
        <f>FARM_DATA[[#This Row],[Total_Expenses]]</f>
        <v>462.92</v>
      </c>
      <c r="L276" s="30">
        <f>FARM_DATA[[#This Row],[Savings]]</f>
        <v>-11.7</v>
      </c>
      <c r="M276" s="5" t="str">
        <f>TEXT(CLEAN_TABLE[[#This Row],[Date]], "mmm")</f>
        <v>Dec</v>
      </c>
      <c r="N276" s="5">
        <f>YEAR(CLEAN_TABLE[[#This Row],[Date]])</f>
        <v>2024</v>
      </c>
      <c r="O276" s="5">
        <f>IF(CLEAN_TABLE[[#This Row],[Farmer_Type]]="Smart",0,1)</f>
        <v>1</v>
      </c>
      <c r="P276" s="7">
        <f>IFERROR(CLEAN_TABLE[[#This Row],[Savings]]/CLEAN_TABLE[[#This Row],[Income]],0)</f>
        <v>-2.5929701697619784E-2</v>
      </c>
      <c r="Q276" s="7">
        <f>IF(CLEAN_TABLE[[#This Row],[Farmer_Type]]="Smart", 1 - (CLEAN_TABLE[[#This Row],[Irrigation]] / 70), 1 - (CLEAN_TABLE[[#This Row],[Irrigation]] / 150))</f>
        <v>0.62420000000000009</v>
      </c>
      <c r="R2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914.1400000000001</v>
      </c>
    </row>
    <row r="277" spans="1:19">
      <c r="A277" s="6">
        <f>FARM_DATA[[#This Row],[Date]]</f>
        <v>45658</v>
      </c>
      <c r="B277" s="5" t="str">
        <f>FARM_DATA[[#This Row],[Farmer_Type]]</f>
        <v>Smart</v>
      </c>
      <c r="C277" s="8">
        <f>FARM_DATA[[#This Row],[Income]]</f>
        <v>1310.87</v>
      </c>
      <c r="D277" s="8">
        <f>FARM_DATA[[#This Row],[Irrigation]]</f>
        <v>14.05</v>
      </c>
      <c r="E277" s="8">
        <f>FARM_DATA[[#This Row],[Seeds]]</f>
        <v>74.400000000000006</v>
      </c>
      <c r="F277" s="8">
        <f>FARM_DATA[[#This Row],[Fertilizer]]</f>
        <v>41.2</v>
      </c>
      <c r="G277" s="8">
        <f>FARM_DATA[[#This Row],[Labor]]</f>
        <v>75.87</v>
      </c>
      <c r="H277" s="8">
        <f>FARM_DATA[[#This Row],[Household]]</f>
        <v>186.53</v>
      </c>
      <c r="I277" s="8">
        <f>FARM_DATA[[#This Row],[Medical]]</f>
        <v>35.36</v>
      </c>
      <c r="J277" s="8">
        <f>FARM_DATA[[#This Row],[Misc]]</f>
        <v>45.33</v>
      </c>
      <c r="K277" s="8">
        <f>FARM_DATA[[#This Row],[Total_Expenses]]</f>
        <v>472.74</v>
      </c>
      <c r="L277" s="30">
        <f>FARM_DATA[[#This Row],[Savings]]</f>
        <v>838.13</v>
      </c>
      <c r="M277" s="5" t="str">
        <f>TEXT(CLEAN_TABLE[[#This Row],[Date]], "mmm")</f>
        <v>Jan</v>
      </c>
      <c r="N277" s="5">
        <f>YEAR(CLEAN_TABLE[[#This Row],[Date]])</f>
        <v>2025</v>
      </c>
      <c r="O277" s="5">
        <f>IF(CLEAN_TABLE[[#This Row],[Farmer_Type]]="Smart",0,1)</f>
        <v>0</v>
      </c>
      <c r="P277" s="7">
        <f>IFERROR(CLEAN_TABLE[[#This Row],[Savings]]/CLEAN_TABLE[[#This Row],[Income]],0)</f>
        <v>0.63936927384103692</v>
      </c>
      <c r="Q277" s="7">
        <f>IF(CLEAN_TABLE[[#This Row],[Farmer_Type]]="Smart", 1 - (CLEAN_TABLE[[#This Row],[Irrigation]] / 70), 1 - (CLEAN_TABLE[[#This Row],[Irrigation]] / 150))</f>
        <v>0.79928571428571427</v>
      </c>
      <c r="R2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1783.6099999999997</v>
      </c>
    </row>
    <row r="278" spans="1:19">
      <c r="A278" s="6">
        <f>FARM_DATA[[#This Row],[Date]]</f>
        <v>45659</v>
      </c>
      <c r="B278" s="5" t="str">
        <f>FARM_DATA[[#This Row],[Farmer_Type]]</f>
        <v>Traditional</v>
      </c>
      <c r="C278" s="8">
        <f>FARM_DATA[[#This Row],[Income]]</f>
        <v>334.35</v>
      </c>
      <c r="D278" s="8">
        <f>FARM_DATA[[#This Row],[Irrigation]]</f>
        <v>69.989999999999995</v>
      </c>
      <c r="E278" s="8">
        <f>FARM_DATA[[#This Row],[Seeds]]</f>
        <v>21.24</v>
      </c>
      <c r="F278" s="8">
        <f>FARM_DATA[[#This Row],[Fertilizer]]</f>
        <v>67.09</v>
      </c>
      <c r="G278" s="8">
        <f>FARM_DATA[[#This Row],[Labor]]</f>
        <v>132.06</v>
      </c>
      <c r="H278" s="8">
        <f>FARM_DATA[[#This Row],[Household]]</f>
        <v>136.44</v>
      </c>
      <c r="I278" s="8">
        <f>FARM_DATA[[#This Row],[Medical]]</f>
        <v>16.239999999999998</v>
      </c>
      <c r="J278" s="8">
        <f>FARM_DATA[[#This Row],[Misc]]</f>
        <v>33.19</v>
      </c>
      <c r="K278" s="8">
        <f>FARM_DATA[[#This Row],[Total_Expenses]]</f>
        <v>476.25</v>
      </c>
      <c r="L278" s="30">
        <f>FARM_DATA[[#This Row],[Savings]]</f>
        <v>-141.91</v>
      </c>
      <c r="M278" s="5" t="str">
        <f>TEXT(CLEAN_TABLE[[#This Row],[Date]], "mmm")</f>
        <v>Jan</v>
      </c>
      <c r="N278" s="5">
        <f>YEAR(CLEAN_TABLE[[#This Row],[Date]])</f>
        <v>2025</v>
      </c>
      <c r="O278" s="5">
        <f>IF(CLEAN_TABLE[[#This Row],[Farmer_Type]]="Smart",0,1)</f>
        <v>1</v>
      </c>
      <c r="P278" s="7">
        <f>IFERROR(CLEAN_TABLE[[#This Row],[Savings]]/CLEAN_TABLE[[#This Row],[Income]],0)</f>
        <v>-0.42443547181097646</v>
      </c>
      <c r="Q278" s="7">
        <f>IF(CLEAN_TABLE[[#This Row],[Farmer_Type]]="Smart", 1 - (CLEAN_TABLE[[#This Row],[Irrigation]] / 70), 1 - (CLEAN_TABLE[[#This Row],[Irrigation]] / 150))</f>
        <v>0.5334000000000001</v>
      </c>
      <c r="R2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810.60000000000014</v>
      </c>
    </row>
    <row r="279" spans="1:19">
      <c r="A279" s="6">
        <f>FARM_DATA[[#This Row],[Date]]</f>
        <v>45660</v>
      </c>
      <c r="B279" s="5" t="str">
        <f>FARM_DATA[[#This Row],[Farmer_Type]]</f>
        <v>Smart</v>
      </c>
      <c r="C279" s="8">
        <f>FARM_DATA[[#This Row],[Income]]</f>
        <v>862.66</v>
      </c>
      <c r="D279" s="8">
        <f>FARM_DATA[[#This Row],[Irrigation]]</f>
        <v>14.67</v>
      </c>
      <c r="E279" s="8">
        <f>FARM_DATA[[#This Row],[Seeds]]</f>
        <v>101.99</v>
      </c>
      <c r="F279" s="8">
        <f>FARM_DATA[[#This Row],[Fertilizer]]</f>
        <v>72.59</v>
      </c>
      <c r="G279" s="8">
        <f>FARM_DATA[[#This Row],[Labor]]</f>
        <v>87.83</v>
      </c>
      <c r="H279" s="8">
        <f>FARM_DATA[[#This Row],[Household]]</f>
        <v>147.34</v>
      </c>
      <c r="I279" s="8">
        <f>FARM_DATA[[#This Row],[Medical]]</f>
        <v>28.7</v>
      </c>
      <c r="J279" s="8">
        <f>FARM_DATA[[#This Row],[Misc]]</f>
        <v>37.28</v>
      </c>
      <c r="K279" s="8">
        <f>FARM_DATA[[#This Row],[Total_Expenses]]</f>
        <v>490.4</v>
      </c>
      <c r="L279" s="30">
        <f>FARM_DATA[[#This Row],[Savings]]</f>
        <v>372.25</v>
      </c>
      <c r="M279" s="5" t="str">
        <f>TEXT(CLEAN_TABLE[[#This Row],[Date]], "mmm")</f>
        <v>Jan</v>
      </c>
      <c r="N279" s="5">
        <f>YEAR(CLEAN_TABLE[[#This Row],[Date]])</f>
        <v>2025</v>
      </c>
      <c r="O279" s="5">
        <f>IF(CLEAN_TABLE[[#This Row],[Farmer_Type]]="Smart",0,1)</f>
        <v>0</v>
      </c>
      <c r="P279" s="7">
        <f>IFERROR(CLEAN_TABLE[[#This Row],[Savings]]/CLEAN_TABLE[[#This Row],[Income]],0)</f>
        <v>0.43151415389608888</v>
      </c>
      <c r="Q279" s="7">
        <f>IF(CLEAN_TABLE[[#This Row],[Farmer_Type]]="Smart", 1 - (CLEAN_TABLE[[#This Row],[Irrigation]] / 70), 1 - (CLEAN_TABLE[[#This Row],[Irrigation]] / 150))</f>
        <v>0.79042857142857148</v>
      </c>
      <c r="R2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1353.0599999999997</v>
      </c>
    </row>
    <row r="280" spans="1:19">
      <c r="A280" s="6">
        <f>FARM_DATA[[#This Row],[Date]]</f>
        <v>45661</v>
      </c>
      <c r="B280" s="5" t="str">
        <f>FARM_DATA[[#This Row],[Farmer_Type]]</f>
        <v>Traditional</v>
      </c>
      <c r="C280" s="8">
        <f>FARM_DATA[[#This Row],[Income]]</f>
        <v>317.52999999999997</v>
      </c>
      <c r="D280" s="8">
        <f>FARM_DATA[[#This Row],[Irrigation]]</f>
        <v>83.21</v>
      </c>
      <c r="E280" s="8">
        <f>FARM_DATA[[#This Row],[Seeds]]</f>
        <v>61.29</v>
      </c>
      <c r="F280" s="8">
        <f>FARM_DATA[[#This Row],[Fertilizer]]</f>
        <v>42.99</v>
      </c>
      <c r="G280" s="8">
        <f>FARM_DATA[[#This Row],[Labor]]</f>
        <v>63.34</v>
      </c>
      <c r="H280" s="8">
        <f>FARM_DATA[[#This Row],[Household]]</f>
        <v>180.23</v>
      </c>
      <c r="I280" s="8">
        <f>FARM_DATA[[#This Row],[Medical]]</f>
        <v>14.52</v>
      </c>
      <c r="J280" s="8">
        <f>FARM_DATA[[#This Row],[Misc]]</f>
        <v>39.49</v>
      </c>
      <c r="K280" s="8">
        <f>FARM_DATA[[#This Row],[Total_Expenses]]</f>
        <v>485.07</v>
      </c>
      <c r="L280" s="30">
        <f>FARM_DATA[[#This Row],[Savings]]</f>
        <v>-167.54</v>
      </c>
      <c r="M280" s="5" t="str">
        <f>TEXT(CLEAN_TABLE[[#This Row],[Date]], "mmm")</f>
        <v>Jan</v>
      </c>
      <c r="N280" s="5">
        <f>YEAR(CLEAN_TABLE[[#This Row],[Date]])</f>
        <v>2025</v>
      </c>
      <c r="O280" s="5">
        <f>IF(CLEAN_TABLE[[#This Row],[Farmer_Type]]="Smart",0,1)</f>
        <v>1</v>
      </c>
      <c r="P280" s="7">
        <f>IFERROR(CLEAN_TABLE[[#This Row],[Savings]]/CLEAN_TABLE[[#This Row],[Income]],0)</f>
        <v>-0.52763518407709509</v>
      </c>
      <c r="Q280" s="7">
        <f>IF(CLEAN_TABLE[[#This Row],[Farmer_Type]]="Smart", 1 - (CLEAN_TABLE[[#This Row],[Irrigation]] / 70), 1 - (CLEAN_TABLE[[#This Row],[Irrigation]] / 150))</f>
        <v>0.4452666666666667</v>
      </c>
      <c r="R2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802.6</v>
      </c>
    </row>
    <row r="281" spans="1:19">
      <c r="A281" s="6">
        <f>FARM_DATA[[#This Row],[Date]]</f>
        <v>45662</v>
      </c>
      <c r="B281" s="5" t="str">
        <f>FARM_DATA[[#This Row],[Farmer_Type]]</f>
        <v>Smart</v>
      </c>
      <c r="C281" s="8">
        <f>FARM_DATA[[#This Row],[Income]]</f>
        <v>555.98</v>
      </c>
      <c r="D281" s="8">
        <f>FARM_DATA[[#This Row],[Irrigation]]</f>
        <v>19.46</v>
      </c>
      <c r="E281" s="8">
        <f>FARM_DATA[[#This Row],[Seeds]]</f>
        <v>35.78</v>
      </c>
      <c r="F281" s="8">
        <f>FARM_DATA[[#This Row],[Fertilizer]]</f>
        <v>101.92</v>
      </c>
      <c r="G281" s="8">
        <f>FARM_DATA[[#This Row],[Labor]]</f>
        <v>95.29</v>
      </c>
      <c r="H281" s="8">
        <f>FARM_DATA[[#This Row],[Household]]</f>
        <v>136.61000000000001</v>
      </c>
      <c r="I281" s="8">
        <f>FARM_DATA[[#This Row],[Medical]]</f>
        <v>18.34</v>
      </c>
      <c r="J281" s="8">
        <f>FARM_DATA[[#This Row],[Misc]]</f>
        <v>50.29</v>
      </c>
      <c r="K281" s="8">
        <f>FARM_DATA[[#This Row],[Total_Expenses]]</f>
        <v>457.69</v>
      </c>
      <c r="L281" s="30">
        <f>FARM_DATA[[#This Row],[Savings]]</f>
        <v>98.29</v>
      </c>
      <c r="M281" s="5" t="str">
        <f>TEXT(CLEAN_TABLE[[#This Row],[Date]], "mmm")</f>
        <v>Jan</v>
      </c>
      <c r="N281" s="5">
        <f>YEAR(CLEAN_TABLE[[#This Row],[Date]])</f>
        <v>2025</v>
      </c>
      <c r="O281" s="5">
        <f>IF(CLEAN_TABLE[[#This Row],[Farmer_Type]]="Smart",0,1)</f>
        <v>0</v>
      </c>
      <c r="P281" s="7">
        <f>IFERROR(CLEAN_TABLE[[#This Row],[Savings]]/CLEAN_TABLE[[#This Row],[Income]],0)</f>
        <v>0.17678693478182669</v>
      </c>
      <c r="Q281" s="7">
        <f>IF(CLEAN_TABLE[[#This Row],[Farmer_Type]]="Smart", 1 - (CLEAN_TABLE[[#This Row],[Irrigation]] / 70), 1 - (CLEAN_TABLE[[#This Row],[Irrigation]] / 150))</f>
        <v>0.72199999999999998</v>
      </c>
      <c r="R2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2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1013.67</v>
      </c>
    </row>
    <row r="282" spans="1:19">
      <c r="A282" s="6">
        <f>FARM_DATA[[#This Row],[Date]]</f>
        <v>45663</v>
      </c>
      <c r="B282" s="5" t="str">
        <f>FARM_DATA[[#This Row],[Farmer_Type]]</f>
        <v>Traditional</v>
      </c>
      <c r="C282" s="8">
        <f>FARM_DATA[[#This Row],[Income]]</f>
        <v>355.29</v>
      </c>
      <c r="D282" s="8">
        <f>FARM_DATA[[#This Row],[Irrigation]]</f>
        <v>75.84</v>
      </c>
      <c r="E282" s="8">
        <f>FARM_DATA[[#This Row],[Seeds]]</f>
        <v>69.650000000000006</v>
      </c>
      <c r="F282" s="8">
        <f>FARM_DATA[[#This Row],[Fertilizer]]</f>
        <v>23.72</v>
      </c>
      <c r="G282" s="8">
        <f>FARM_DATA[[#This Row],[Labor]]</f>
        <v>150.43</v>
      </c>
      <c r="H282" s="8">
        <f>FARM_DATA[[#This Row],[Household]]</f>
        <v>153.13</v>
      </c>
      <c r="I282" s="8">
        <f>FARM_DATA[[#This Row],[Medical]]</f>
        <v>12.81</v>
      </c>
      <c r="J282" s="8">
        <f>FARM_DATA[[#This Row],[Misc]]</f>
        <v>14.04</v>
      </c>
      <c r="K282" s="8">
        <f>FARM_DATA[[#This Row],[Total_Expenses]]</f>
        <v>499.61</v>
      </c>
      <c r="L282" s="30">
        <f>FARM_DATA[[#This Row],[Savings]]</f>
        <v>-144.32</v>
      </c>
      <c r="M282" s="5" t="str">
        <f>TEXT(CLEAN_TABLE[[#This Row],[Date]], "mmm")</f>
        <v>Jan</v>
      </c>
      <c r="N282" s="5">
        <f>YEAR(CLEAN_TABLE[[#This Row],[Date]])</f>
        <v>2025</v>
      </c>
      <c r="O282" s="5">
        <f>IF(CLEAN_TABLE[[#This Row],[Farmer_Type]]="Smart",0,1)</f>
        <v>1</v>
      </c>
      <c r="P282" s="7">
        <f>IFERROR(CLEAN_TABLE[[#This Row],[Savings]]/CLEAN_TABLE[[#This Row],[Income]],0)</f>
        <v>-0.40620338315179144</v>
      </c>
      <c r="Q282" s="7">
        <f>IF(CLEAN_TABLE[[#This Row],[Farmer_Type]]="Smart", 1 - (CLEAN_TABLE[[#This Row],[Irrigation]] / 70), 1 - (CLEAN_TABLE[[#This Row],[Irrigation]] / 150))</f>
        <v>0.49439999999999995</v>
      </c>
      <c r="R2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854.91</v>
      </c>
    </row>
    <row r="283" spans="1:19">
      <c r="A283" s="6">
        <f>FARM_DATA[[#This Row],[Date]]</f>
        <v>45664</v>
      </c>
      <c r="B283" s="5" t="str">
        <f>FARM_DATA[[#This Row],[Farmer_Type]]</f>
        <v>Smart</v>
      </c>
      <c r="C283" s="8">
        <f>FARM_DATA[[#This Row],[Income]]</f>
        <v>912.18</v>
      </c>
      <c r="D283" s="8">
        <f>FARM_DATA[[#This Row],[Irrigation]]</f>
        <v>19.61</v>
      </c>
      <c r="E283" s="8">
        <f>FARM_DATA[[#This Row],[Seeds]]</f>
        <v>57.45</v>
      </c>
      <c r="F283" s="8">
        <f>FARM_DATA[[#This Row],[Fertilizer]]</f>
        <v>125.33</v>
      </c>
      <c r="G283" s="8">
        <f>FARM_DATA[[#This Row],[Labor]]</f>
        <v>65.98</v>
      </c>
      <c r="H283" s="8">
        <f>FARM_DATA[[#This Row],[Household]]</f>
        <v>169.58</v>
      </c>
      <c r="I283" s="8">
        <f>FARM_DATA[[#This Row],[Medical]]</f>
        <v>10.73</v>
      </c>
      <c r="J283" s="8">
        <f>FARM_DATA[[#This Row],[Misc]]</f>
        <v>45.45</v>
      </c>
      <c r="K283" s="8">
        <f>FARM_DATA[[#This Row],[Total_Expenses]]</f>
        <v>494.13</v>
      </c>
      <c r="L283" s="30">
        <f>FARM_DATA[[#This Row],[Savings]]</f>
        <v>418.05</v>
      </c>
      <c r="M283" s="5" t="str">
        <f>TEXT(CLEAN_TABLE[[#This Row],[Date]], "mmm")</f>
        <v>Jan</v>
      </c>
      <c r="N283" s="5">
        <f>YEAR(CLEAN_TABLE[[#This Row],[Date]])</f>
        <v>2025</v>
      </c>
      <c r="O283" s="5">
        <f>IF(CLEAN_TABLE[[#This Row],[Farmer_Type]]="Smart",0,1)</f>
        <v>0</v>
      </c>
      <c r="P283" s="7">
        <f>IFERROR(CLEAN_TABLE[[#This Row],[Savings]]/CLEAN_TABLE[[#This Row],[Income]],0)</f>
        <v>0.45829770440044731</v>
      </c>
      <c r="Q283" s="7">
        <f>IF(CLEAN_TABLE[[#This Row],[Farmer_Type]]="Smart", 1 - (CLEAN_TABLE[[#This Row],[Irrigation]] / 70), 1 - (CLEAN_TABLE[[#This Row],[Irrigation]] / 150))</f>
        <v>0.71985714285714286</v>
      </c>
      <c r="R2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1406.31</v>
      </c>
    </row>
    <row r="284" spans="1:19">
      <c r="A284" s="6">
        <f>FARM_DATA[[#This Row],[Date]]</f>
        <v>45665</v>
      </c>
      <c r="B284" s="5" t="str">
        <f>FARM_DATA[[#This Row],[Farmer_Type]]</f>
        <v>Traditional</v>
      </c>
      <c r="C284" s="8">
        <f>FARM_DATA[[#This Row],[Income]]</f>
        <v>394.34</v>
      </c>
      <c r="D284" s="8">
        <f>FARM_DATA[[#This Row],[Irrigation]]</f>
        <v>65.790000000000006</v>
      </c>
      <c r="E284" s="8">
        <f>FARM_DATA[[#This Row],[Seeds]]</f>
        <v>0.94</v>
      </c>
      <c r="F284" s="8">
        <f>FARM_DATA[[#This Row],[Fertilizer]]</f>
        <v>58.98</v>
      </c>
      <c r="G284" s="8">
        <f>FARM_DATA[[#This Row],[Labor]]</f>
        <v>120.92</v>
      </c>
      <c r="H284" s="8">
        <f>FARM_DATA[[#This Row],[Household]]</f>
        <v>162.13</v>
      </c>
      <c r="I284" s="8">
        <f>FARM_DATA[[#This Row],[Medical]]</f>
        <v>29.89</v>
      </c>
      <c r="J284" s="8">
        <f>FARM_DATA[[#This Row],[Misc]]</f>
        <v>17.149999999999999</v>
      </c>
      <c r="K284" s="8">
        <f>FARM_DATA[[#This Row],[Total_Expenses]]</f>
        <v>455.79</v>
      </c>
      <c r="L284" s="30">
        <f>FARM_DATA[[#This Row],[Savings]]</f>
        <v>-61.44</v>
      </c>
      <c r="M284" s="5" t="str">
        <f>TEXT(CLEAN_TABLE[[#This Row],[Date]], "mmm")</f>
        <v>Jan</v>
      </c>
      <c r="N284" s="5">
        <f>YEAR(CLEAN_TABLE[[#This Row],[Date]])</f>
        <v>2025</v>
      </c>
      <c r="O284" s="5">
        <f>IF(CLEAN_TABLE[[#This Row],[Farmer_Type]]="Smart",0,1)</f>
        <v>1</v>
      </c>
      <c r="P284" s="7">
        <f>IFERROR(CLEAN_TABLE[[#This Row],[Savings]]/CLEAN_TABLE[[#This Row],[Income]],0)</f>
        <v>-0.15580463559365015</v>
      </c>
      <c r="Q284" s="7">
        <f>IF(CLEAN_TABLE[[#This Row],[Farmer_Type]]="Smart", 1 - (CLEAN_TABLE[[#This Row],[Irrigation]] / 70), 1 - (CLEAN_TABLE[[#This Row],[Irrigation]] / 150))</f>
        <v>0.5613999999999999</v>
      </c>
      <c r="R2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850.13999999999987</v>
      </c>
    </row>
    <row r="285" spans="1:19">
      <c r="A285" s="6">
        <f>FARM_DATA[[#This Row],[Date]]</f>
        <v>45666</v>
      </c>
      <c r="B285" s="5" t="str">
        <f>FARM_DATA[[#This Row],[Farmer_Type]]</f>
        <v>Smart</v>
      </c>
      <c r="C285" s="8">
        <f>FARM_DATA[[#This Row],[Income]]</f>
        <v>1086.04</v>
      </c>
      <c r="D285" s="8">
        <f>FARM_DATA[[#This Row],[Irrigation]]</f>
        <v>20.96</v>
      </c>
      <c r="E285" s="8">
        <f>FARM_DATA[[#This Row],[Seeds]]</f>
        <v>24.43</v>
      </c>
      <c r="F285" s="8">
        <f>FARM_DATA[[#This Row],[Fertilizer]]</f>
        <v>89.59</v>
      </c>
      <c r="G285" s="8">
        <f>FARM_DATA[[#This Row],[Labor]]</f>
        <v>84.92</v>
      </c>
      <c r="H285" s="8">
        <f>FARM_DATA[[#This Row],[Household]]</f>
        <v>167.15</v>
      </c>
      <c r="I285" s="8">
        <f>FARM_DATA[[#This Row],[Medical]]</f>
        <v>25.13</v>
      </c>
      <c r="J285" s="8">
        <f>FARM_DATA[[#This Row],[Misc]]</f>
        <v>32.69</v>
      </c>
      <c r="K285" s="8">
        <f>FARM_DATA[[#This Row],[Total_Expenses]]</f>
        <v>444.86</v>
      </c>
      <c r="L285" s="30">
        <f>FARM_DATA[[#This Row],[Savings]]</f>
        <v>641.17999999999995</v>
      </c>
      <c r="M285" s="5" t="str">
        <f>TEXT(CLEAN_TABLE[[#This Row],[Date]], "mmm")</f>
        <v>Jan</v>
      </c>
      <c r="N285" s="5">
        <f>YEAR(CLEAN_TABLE[[#This Row],[Date]])</f>
        <v>2025</v>
      </c>
      <c r="O285" s="5">
        <f>IF(CLEAN_TABLE[[#This Row],[Farmer_Type]]="Smart",0,1)</f>
        <v>0</v>
      </c>
      <c r="P285" s="7">
        <f>IFERROR(CLEAN_TABLE[[#This Row],[Savings]]/CLEAN_TABLE[[#This Row],[Income]],0)</f>
        <v>0.59038341129240168</v>
      </c>
      <c r="Q285" s="7">
        <f>IF(CLEAN_TABLE[[#This Row],[Farmer_Type]]="Smart", 1 - (CLEAN_TABLE[[#This Row],[Irrigation]] / 70), 1 - (CLEAN_TABLE[[#This Row],[Irrigation]] / 150))</f>
        <v>0.70057142857142862</v>
      </c>
      <c r="R2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1530.9100000000003</v>
      </c>
    </row>
    <row r="286" spans="1:19">
      <c r="A286" s="6">
        <f>FARM_DATA[[#This Row],[Date]]</f>
        <v>45667</v>
      </c>
      <c r="B286" s="5" t="str">
        <f>FARM_DATA[[#This Row],[Farmer_Type]]</f>
        <v>Smart</v>
      </c>
      <c r="C286" s="8">
        <f>FARM_DATA[[#This Row],[Income]]</f>
        <v>814.86</v>
      </c>
      <c r="D286" s="8">
        <f>FARM_DATA[[#This Row],[Irrigation]]</f>
        <v>15.17</v>
      </c>
      <c r="E286" s="8">
        <f>FARM_DATA[[#This Row],[Seeds]]</f>
        <v>38.26</v>
      </c>
      <c r="F286" s="8">
        <f>FARM_DATA[[#This Row],[Fertilizer]]</f>
        <v>47.43</v>
      </c>
      <c r="G286" s="8">
        <f>FARM_DATA[[#This Row],[Labor]]</f>
        <v>108.59</v>
      </c>
      <c r="H286" s="8">
        <f>FARM_DATA[[#This Row],[Household]]</f>
        <v>129.79</v>
      </c>
      <c r="I286" s="8">
        <f>FARM_DATA[[#This Row],[Medical]]</f>
        <v>28</v>
      </c>
      <c r="J286" s="8">
        <f>FARM_DATA[[#This Row],[Misc]]</f>
        <v>46.94</v>
      </c>
      <c r="K286" s="8">
        <f>FARM_DATA[[#This Row],[Total_Expenses]]</f>
        <v>414.17</v>
      </c>
      <c r="L286" s="30">
        <f>FARM_DATA[[#This Row],[Savings]]</f>
        <v>400.69</v>
      </c>
      <c r="M286" s="5" t="str">
        <f>TEXT(CLEAN_TABLE[[#This Row],[Date]], "mmm")</f>
        <v>Jan</v>
      </c>
      <c r="N286" s="5">
        <f>YEAR(CLEAN_TABLE[[#This Row],[Date]])</f>
        <v>2025</v>
      </c>
      <c r="O286" s="5">
        <f>IF(CLEAN_TABLE[[#This Row],[Farmer_Type]]="Smart",0,1)</f>
        <v>0</v>
      </c>
      <c r="P286" s="7">
        <f>IFERROR(CLEAN_TABLE[[#This Row],[Savings]]/CLEAN_TABLE[[#This Row],[Income]],0)</f>
        <v>0.49172864050266302</v>
      </c>
      <c r="Q286" s="7">
        <f>IF(CLEAN_TABLE[[#This Row],[Farmer_Type]]="Smart", 1 - (CLEAN_TABLE[[#This Row],[Irrigation]] / 70), 1 - (CLEAN_TABLE[[#This Row],[Irrigation]] / 150))</f>
        <v>0.78328571428571425</v>
      </c>
      <c r="R2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1229.04</v>
      </c>
    </row>
    <row r="287" spans="1:19">
      <c r="A287" s="6">
        <f>FARM_DATA[[#This Row],[Date]]</f>
        <v>45668</v>
      </c>
      <c r="B287" s="5" t="str">
        <f>FARM_DATA[[#This Row],[Farmer_Type]]</f>
        <v>Traditional</v>
      </c>
      <c r="C287" s="8">
        <f>FARM_DATA[[#This Row],[Income]]</f>
        <v>263.70999999999998</v>
      </c>
      <c r="D287" s="8">
        <f>FARM_DATA[[#This Row],[Irrigation]]</f>
        <v>63.22</v>
      </c>
      <c r="E287" s="8">
        <f>FARM_DATA[[#This Row],[Seeds]]</f>
        <v>57.91</v>
      </c>
      <c r="F287" s="8">
        <f>FARM_DATA[[#This Row],[Fertilizer]]</f>
        <v>35.380000000000003</v>
      </c>
      <c r="G287" s="8">
        <f>FARM_DATA[[#This Row],[Labor]]</f>
        <v>98.39</v>
      </c>
      <c r="H287" s="8">
        <f>FARM_DATA[[#This Row],[Household]]</f>
        <v>163.86</v>
      </c>
      <c r="I287" s="8">
        <f>FARM_DATA[[#This Row],[Medical]]</f>
        <v>26.27</v>
      </c>
      <c r="J287" s="8">
        <f>FARM_DATA[[#This Row],[Misc]]</f>
        <v>26.98</v>
      </c>
      <c r="K287" s="8">
        <f>FARM_DATA[[#This Row],[Total_Expenses]]</f>
        <v>472.01</v>
      </c>
      <c r="L287" s="30">
        <f>FARM_DATA[[#This Row],[Savings]]</f>
        <v>-208.3</v>
      </c>
      <c r="M287" s="5" t="str">
        <f>TEXT(CLEAN_TABLE[[#This Row],[Date]], "mmm")</f>
        <v>Jan</v>
      </c>
      <c r="N287" s="5">
        <f>YEAR(CLEAN_TABLE[[#This Row],[Date]])</f>
        <v>2025</v>
      </c>
      <c r="O287" s="5">
        <f>IF(CLEAN_TABLE[[#This Row],[Farmer_Type]]="Smart",0,1)</f>
        <v>1</v>
      </c>
      <c r="P287" s="7">
        <f>IFERROR(CLEAN_TABLE[[#This Row],[Savings]]/CLEAN_TABLE[[#This Row],[Income]],0)</f>
        <v>-0.78988282583140579</v>
      </c>
      <c r="Q287" s="7">
        <f>IF(CLEAN_TABLE[[#This Row],[Farmer_Type]]="Smart", 1 - (CLEAN_TABLE[[#This Row],[Irrigation]] / 70), 1 - (CLEAN_TABLE[[#This Row],[Irrigation]] / 150))</f>
        <v>0.57853333333333334</v>
      </c>
      <c r="R2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735.71999999999991</v>
      </c>
    </row>
    <row r="288" spans="1:19">
      <c r="A288" s="6">
        <f>FARM_DATA[[#This Row],[Date]]</f>
        <v>45669</v>
      </c>
      <c r="B288" s="5" t="str">
        <f>FARM_DATA[[#This Row],[Farmer_Type]]</f>
        <v>Traditional</v>
      </c>
      <c r="C288" s="8">
        <f>FARM_DATA[[#This Row],[Income]]</f>
        <v>320.12</v>
      </c>
      <c r="D288" s="8">
        <f>FARM_DATA[[#This Row],[Irrigation]]</f>
        <v>84.22</v>
      </c>
      <c r="E288" s="8">
        <f>FARM_DATA[[#This Row],[Seeds]]</f>
        <v>66.08</v>
      </c>
      <c r="F288" s="8">
        <f>FARM_DATA[[#This Row],[Fertilizer]]</f>
        <v>74.58</v>
      </c>
      <c r="G288" s="8">
        <f>FARM_DATA[[#This Row],[Labor]]</f>
        <v>112.13</v>
      </c>
      <c r="H288" s="8">
        <f>FARM_DATA[[#This Row],[Household]]</f>
        <v>125.75</v>
      </c>
      <c r="I288" s="8">
        <f>FARM_DATA[[#This Row],[Medical]]</f>
        <v>13.36</v>
      </c>
      <c r="J288" s="8">
        <f>FARM_DATA[[#This Row],[Misc]]</f>
        <v>36.270000000000003</v>
      </c>
      <c r="K288" s="8">
        <f>FARM_DATA[[#This Row],[Total_Expenses]]</f>
        <v>512.4</v>
      </c>
      <c r="L288" s="30">
        <f>FARM_DATA[[#This Row],[Savings]]</f>
        <v>-192.27</v>
      </c>
      <c r="M288" s="5" t="str">
        <f>TEXT(CLEAN_TABLE[[#This Row],[Date]], "mmm")</f>
        <v>Jan</v>
      </c>
      <c r="N288" s="5">
        <f>YEAR(CLEAN_TABLE[[#This Row],[Date]])</f>
        <v>2025</v>
      </c>
      <c r="O288" s="5">
        <f>IF(CLEAN_TABLE[[#This Row],[Farmer_Type]]="Smart",0,1)</f>
        <v>1</v>
      </c>
      <c r="P288" s="7">
        <f>IFERROR(CLEAN_TABLE[[#This Row],[Savings]]/CLEAN_TABLE[[#This Row],[Income]],0)</f>
        <v>-0.60061851805572908</v>
      </c>
      <c r="Q288" s="7">
        <f>IF(CLEAN_TABLE[[#This Row],[Farmer_Type]]="Smart", 1 - (CLEAN_TABLE[[#This Row],[Irrigation]] / 70), 1 - (CLEAN_TABLE[[#This Row],[Irrigation]] / 150))</f>
        <v>0.43853333333333333</v>
      </c>
      <c r="R2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832.51</v>
      </c>
    </row>
    <row r="289" spans="1:19">
      <c r="A289" s="6">
        <f>FARM_DATA[[#This Row],[Date]]</f>
        <v>45670</v>
      </c>
      <c r="B289" s="5" t="str">
        <f>FARM_DATA[[#This Row],[Farmer_Type]]</f>
        <v>Traditional</v>
      </c>
      <c r="C289" s="8">
        <f>FARM_DATA[[#This Row],[Income]]</f>
        <v>370.92</v>
      </c>
      <c r="D289" s="8">
        <f>FARM_DATA[[#This Row],[Irrigation]]</f>
        <v>84.02</v>
      </c>
      <c r="E289" s="8">
        <f>FARM_DATA[[#This Row],[Seeds]]</f>
        <v>49.76</v>
      </c>
      <c r="F289" s="8">
        <f>FARM_DATA[[#This Row],[Fertilizer]]</f>
        <v>24.94</v>
      </c>
      <c r="G289" s="8">
        <f>FARM_DATA[[#This Row],[Labor]]</f>
        <v>136.30000000000001</v>
      </c>
      <c r="H289" s="8">
        <f>FARM_DATA[[#This Row],[Household]]</f>
        <v>120.06</v>
      </c>
      <c r="I289" s="8">
        <f>FARM_DATA[[#This Row],[Medical]]</f>
        <v>16.93</v>
      </c>
      <c r="J289" s="8">
        <f>FARM_DATA[[#This Row],[Misc]]</f>
        <v>33</v>
      </c>
      <c r="K289" s="8">
        <f>FARM_DATA[[#This Row],[Total_Expenses]]</f>
        <v>465</v>
      </c>
      <c r="L289" s="30">
        <f>FARM_DATA[[#This Row],[Savings]]</f>
        <v>-94.08</v>
      </c>
      <c r="M289" s="5" t="str">
        <f>TEXT(CLEAN_TABLE[[#This Row],[Date]], "mmm")</f>
        <v>Jan</v>
      </c>
      <c r="N289" s="5">
        <f>YEAR(CLEAN_TABLE[[#This Row],[Date]])</f>
        <v>2025</v>
      </c>
      <c r="O289" s="5">
        <f>IF(CLEAN_TABLE[[#This Row],[Farmer_Type]]="Smart",0,1)</f>
        <v>1</v>
      </c>
      <c r="P289" s="7">
        <f>IFERROR(CLEAN_TABLE[[#This Row],[Savings]]/CLEAN_TABLE[[#This Row],[Income]],0)</f>
        <v>-0.25363959883532838</v>
      </c>
      <c r="Q289" s="7">
        <f>IF(CLEAN_TABLE[[#This Row],[Farmer_Type]]="Smart", 1 - (CLEAN_TABLE[[#This Row],[Irrigation]] / 70), 1 - (CLEAN_TABLE[[#This Row],[Irrigation]] / 150))</f>
        <v>0.43986666666666674</v>
      </c>
      <c r="R2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835.93</v>
      </c>
    </row>
    <row r="290" spans="1:19">
      <c r="A290" s="6">
        <f>FARM_DATA[[#This Row],[Date]]</f>
        <v>45671</v>
      </c>
      <c r="B290" s="5" t="str">
        <f>FARM_DATA[[#This Row],[Farmer_Type]]</f>
        <v>Traditional</v>
      </c>
      <c r="C290" s="8">
        <f>FARM_DATA[[#This Row],[Income]]</f>
        <v>449.78</v>
      </c>
      <c r="D290" s="8">
        <f>FARM_DATA[[#This Row],[Irrigation]]</f>
        <v>101.1</v>
      </c>
      <c r="E290" s="8">
        <f>FARM_DATA[[#This Row],[Seeds]]</f>
        <v>49.1</v>
      </c>
      <c r="F290" s="8">
        <f>FARM_DATA[[#This Row],[Fertilizer]]</f>
        <v>51.34</v>
      </c>
      <c r="G290" s="8">
        <f>FARM_DATA[[#This Row],[Labor]]</f>
        <v>123.36</v>
      </c>
      <c r="H290" s="8">
        <f>FARM_DATA[[#This Row],[Household]]</f>
        <v>176.63</v>
      </c>
      <c r="I290" s="8">
        <f>FARM_DATA[[#This Row],[Medical]]</f>
        <v>17.43</v>
      </c>
      <c r="J290" s="8">
        <f>FARM_DATA[[#This Row],[Misc]]</f>
        <v>51.54</v>
      </c>
      <c r="K290" s="8">
        <f>FARM_DATA[[#This Row],[Total_Expenses]]</f>
        <v>570.51</v>
      </c>
      <c r="L290" s="30">
        <f>FARM_DATA[[#This Row],[Savings]]</f>
        <v>-120.72</v>
      </c>
      <c r="M290" s="5" t="str">
        <f>TEXT(CLEAN_TABLE[[#This Row],[Date]], "mmm")</f>
        <v>Jan</v>
      </c>
      <c r="N290" s="5">
        <f>YEAR(CLEAN_TABLE[[#This Row],[Date]])</f>
        <v>2025</v>
      </c>
      <c r="O290" s="5">
        <f>IF(CLEAN_TABLE[[#This Row],[Farmer_Type]]="Smart",0,1)</f>
        <v>1</v>
      </c>
      <c r="P290" s="7">
        <f>IFERROR(CLEAN_TABLE[[#This Row],[Savings]]/CLEAN_TABLE[[#This Row],[Income]],0)</f>
        <v>-0.26839788340966697</v>
      </c>
      <c r="Q290" s="7">
        <f>IF(CLEAN_TABLE[[#This Row],[Farmer_Type]]="Smart", 1 - (CLEAN_TABLE[[#This Row],[Irrigation]] / 70), 1 - (CLEAN_TABLE[[#This Row],[Irrigation]] / 150))</f>
        <v>0.32600000000000007</v>
      </c>
      <c r="R2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1020.28</v>
      </c>
    </row>
    <row r="291" spans="1:19">
      <c r="A291" s="6">
        <f>FARM_DATA[[#This Row],[Date]]</f>
        <v>45672</v>
      </c>
      <c r="B291" s="5" t="str">
        <f>FARM_DATA[[#This Row],[Farmer_Type]]</f>
        <v>Smart</v>
      </c>
      <c r="C291" s="8">
        <f>FARM_DATA[[#This Row],[Income]]</f>
        <v>996.01</v>
      </c>
      <c r="D291" s="8">
        <f>FARM_DATA[[#This Row],[Irrigation]]</f>
        <v>17.489999999999998</v>
      </c>
      <c r="E291" s="8">
        <f>FARM_DATA[[#This Row],[Seeds]]</f>
        <v>73.319999999999993</v>
      </c>
      <c r="F291" s="8">
        <f>FARM_DATA[[#This Row],[Fertilizer]]</f>
        <v>92.65</v>
      </c>
      <c r="G291" s="8">
        <f>FARM_DATA[[#This Row],[Labor]]</f>
        <v>111.78</v>
      </c>
      <c r="H291" s="8">
        <f>FARM_DATA[[#This Row],[Household]]</f>
        <v>148.4</v>
      </c>
      <c r="I291" s="8">
        <f>FARM_DATA[[#This Row],[Medical]]</f>
        <v>16.98</v>
      </c>
      <c r="J291" s="8">
        <f>FARM_DATA[[#This Row],[Misc]]</f>
        <v>23.5</v>
      </c>
      <c r="K291" s="8">
        <f>FARM_DATA[[#This Row],[Total_Expenses]]</f>
        <v>484.1</v>
      </c>
      <c r="L291" s="30">
        <f>FARM_DATA[[#This Row],[Savings]]</f>
        <v>511.91</v>
      </c>
      <c r="M291" s="5" t="str">
        <f>TEXT(CLEAN_TABLE[[#This Row],[Date]], "mmm")</f>
        <v>Jan</v>
      </c>
      <c r="N291" s="5">
        <f>YEAR(CLEAN_TABLE[[#This Row],[Date]])</f>
        <v>2025</v>
      </c>
      <c r="O291" s="5">
        <f>IF(CLEAN_TABLE[[#This Row],[Farmer_Type]]="Smart",0,1)</f>
        <v>0</v>
      </c>
      <c r="P291" s="7">
        <f>IFERROR(CLEAN_TABLE[[#This Row],[Savings]]/CLEAN_TABLE[[#This Row],[Income]],0)</f>
        <v>0.51396070320579113</v>
      </c>
      <c r="Q291" s="7">
        <f>IF(CLEAN_TABLE[[#This Row],[Farmer_Type]]="Smart", 1 - (CLEAN_TABLE[[#This Row],[Irrigation]] / 70), 1 - (CLEAN_TABLE[[#This Row],[Irrigation]] / 150))</f>
        <v>0.75014285714285722</v>
      </c>
      <c r="R2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1480.13</v>
      </c>
    </row>
    <row r="292" spans="1:19">
      <c r="A292" s="6">
        <f>FARM_DATA[[#This Row],[Date]]</f>
        <v>45673</v>
      </c>
      <c r="B292" s="5" t="str">
        <f>FARM_DATA[[#This Row],[Farmer_Type]]</f>
        <v>Traditional</v>
      </c>
      <c r="C292" s="8">
        <f>FARM_DATA[[#This Row],[Income]]</f>
        <v>371.98</v>
      </c>
      <c r="D292" s="8">
        <f>FARM_DATA[[#This Row],[Irrigation]]</f>
        <v>77.790000000000006</v>
      </c>
      <c r="E292" s="8">
        <f>FARM_DATA[[#This Row],[Seeds]]</f>
        <v>46.87</v>
      </c>
      <c r="F292" s="8">
        <f>FARM_DATA[[#This Row],[Fertilizer]]</f>
        <v>88.49</v>
      </c>
      <c r="G292" s="8">
        <f>FARM_DATA[[#This Row],[Labor]]</f>
        <v>109.86</v>
      </c>
      <c r="H292" s="8">
        <f>FARM_DATA[[#This Row],[Household]]</f>
        <v>170.06</v>
      </c>
      <c r="I292" s="8">
        <f>FARM_DATA[[#This Row],[Medical]]</f>
        <v>11.27</v>
      </c>
      <c r="J292" s="8">
        <f>FARM_DATA[[#This Row],[Misc]]</f>
        <v>25.35</v>
      </c>
      <c r="K292" s="8">
        <f>FARM_DATA[[#This Row],[Total_Expenses]]</f>
        <v>529.69000000000005</v>
      </c>
      <c r="L292" s="30">
        <f>FARM_DATA[[#This Row],[Savings]]</f>
        <v>-157.71</v>
      </c>
      <c r="M292" s="5" t="str">
        <f>TEXT(CLEAN_TABLE[[#This Row],[Date]], "mmm")</f>
        <v>Jan</v>
      </c>
      <c r="N292" s="5">
        <f>YEAR(CLEAN_TABLE[[#This Row],[Date]])</f>
        <v>2025</v>
      </c>
      <c r="O292" s="5">
        <f>IF(CLEAN_TABLE[[#This Row],[Farmer_Type]]="Smart",0,1)</f>
        <v>1</v>
      </c>
      <c r="P292" s="7">
        <f>IFERROR(CLEAN_TABLE[[#This Row],[Savings]]/CLEAN_TABLE[[#This Row],[Income]],0)</f>
        <v>-0.42397440722619495</v>
      </c>
      <c r="Q292" s="7">
        <f>IF(CLEAN_TABLE[[#This Row],[Farmer_Type]]="Smart", 1 - (CLEAN_TABLE[[#This Row],[Irrigation]] / 70), 1 - (CLEAN_TABLE[[#This Row],[Irrigation]] / 150))</f>
        <v>0.48139999999999994</v>
      </c>
      <c r="R2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901.67</v>
      </c>
    </row>
    <row r="293" spans="1:19">
      <c r="A293" s="6">
        <f>FARM_DATA[[#This Row],[Date]]</f>
        <v>45674</v>
      </c>
      <c r="B293" s="5" t="str">
        <f>FARM_DATA[[#This Row],[Farmer_Type]]</f>
        <v>Smart</v>
      </c>
      <c r="C293" s="8">
        <f>FARM_DATA[[#This Row],[Income]]</f>
        <v>1089.1099999999999</v>
      </c>
      <c r="D293" s="8">
        <f>FARM_DATA[[#This Row],[Irrigation]]</f>
        <v>19.25</v>
      </c>
      <c r="E293" s="8">
        <f>FARM_DATA[[#This Row],[Seeds]]</f>
        <v>54.12</v>
      </c>
      <c r="F293" s="8">
        <f>FARM_DATA[[#This Row],[Fertilizer]]</f>
        <v>77.849999999999994</v>
      </c>
      <c r="G293" s="8">
        <f>FARM_DATA[[#This Row],[Labor]]</f>
        <v>64.64</v>
      </c>
      <c r="H293" s="8">
        <f>FARM_DATA[[#This Row],[Household]]</f>
        <v>157.5</v>
      </c>
      <c r="I293" s="8">
        <f>FARM_DATA[[#This Row],[Medical]]</f>
        <v>30.01</v>
      </c>
      <c r="J293" s="8">
        <f>FARM_DATA[[#This Row],[Misc]]</f>
        <v>48.63</v>
      </c>
      <c r="K293" s="8">
        <f>FARM_DATA[[#This Row],[Total_Expenses]]</f>
        <v>452.01</v>
      </c>
      <c r="L293" s="30">
        <f>FARM_DATA[[#This Row],[Savings]]</f>
        <v>637.1</v>
      </c>
      <c r="M293" s="5" t="str">
        <f>TEXT(CLEAN_TABLE[[#This Row],[Date]], "mmm")</f>
        <v>Jan</v>
      </c>
      <c r="N293" s="5">
        <f>YEAR(CLEAN_TABLE[[#This Row],[Date]])</f>
        <v>2025</v>
      </c>
      <c r="O293" s="5">
        <f>IF(CLEAN_TABLE[[#This Row],[Farmer_Type]]="Smart",0,1)</f>
        <v>0</v>
      </c>
      <c r="P293" s="7">
        <f>IFERROR(CLEAN_TABLE[[#This Row],[Savings]]/CLEAN_TABLE[[#This Row],[Income]],0)</f>
        <v>0.58497305139058509</v>
      </c>
      <c r="Q293" s="7">
        <f>IF(CLEAN_TABLE[[#This Row],[Farmer_Type]]="Smart", 1 - (CLEAN_TABLE[[#This Row],[Irrigation]] / 70), 1 - (CLEAN_TABLE[[#This Row],[Irrigation]] / 150))</f>
        <v>0.72499999999999998</v>
      </c>
      <c r="R2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1541.11</v>
      </c>
    </row>
    <row r="294" spans="1:19">
      <c r="A294" s="6">
        <f>FARM_DATA[[#This Row],[Date]]</f>
        <v>45675</v>
      </c>
      <c r="B294" s="5" t="str">
        <f>FARM_DATA[[#This Row],[Farmer_Type]]</f>
        <v>Smart</v>
      </c>
      <c r="C294" s="8">
        <f>FARM_DATA[[#This Row],[Income]]</f>
        <v>1050.1300000000001</v>
      </c>
      <c r="D294" s="8">
        <f>FARM_DATA[[#This Row],[Irrigation]]</f>
        <v>15.25</v>
      </c>
      <c r="E294" s="8">
        <f>FARM_DATA[[#This Row],[Seeds]]</f>
        <v>60.14</v>
      </c>
      <c r="F294" s="8">
        <f>FARM_DATA[[#This Row],[Fertilizer]]</f>
        <v>60.19</v>
      </c>
      <c r="G294" s="8">
        <f>FARM_DATA[[#This Row],[Labor]]</f>
        <v>108.98</v>
      </c>
      <c r="H294" s="8">
        <f>FARM_DATA[[#This Row],[Household]]</f>
        <v>184.73</v>
      </c>
      <c r="I294" s="8">
        <f>FARM_DATA[[#This Row],[Medical]]</f>
        <v>26.43</v>
      </c>
      <c r="J294" s="8">
        <f>FARM_DATA[[#This Row],[Misc]]</f>
        <v>32.11</v>
      </c>
      <c r="K294" s="8">
        <f>FARM_DATA[[#This Row],[Total_Expenses]]</f>
        <v>487.83</v>
      </c>
      <c r="L294" s="30">
        <f>FARM_DATA[[#This Row],[Savings]]</f>
        <v>562.29999999999995</v>
      </c>
      <c r="M294" s="5" t="str">
        <f>TEXT(CLEAN_TABLE[[#This Row],[Date]], "mmm")</f>
        <v>Jan</v>
      </c>
      <c r="N294" s="5">
        <f>YEAR(CLEAN_TABLE[[#This Row],[Date]])</f>
        <v>2025</v>
      </c>
      <c r="O294" s="5">
        <f>IF(CLEAN_TABLE[[#This Row],[Farmer_Type]]="Smart",0,1)</f>
        <v>0</v>
      </c>
      <c r="P294" s="7">
        <f>IFERROR(CLEAN_TABLE[[#This Row],[Savings]]/CLEAN_TABLE[[#This Row],[Income]],0)</f>
        <v>0.53545751478388381</v>
      </c>
      <c r="Q294" s="7">
        <f>IF(CLEAN_TABLE[[#This Row],[Farmer_Type]]="Smart", 1 - (CLEAN_TABLE[[#This Row],[Irrigation]] / 70), 1 - (CLEAN_TABLE[[#This Row],[Irrigation]] / 150))</f>
        <v>0.78214285714285714</v>
      </c>
      <c r="R2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1537.9600000000003</v>
      </c>
    </row>
    <row r="295" spans="1:19">
      <c r="A295" s="6">
        <f>FARM_DATA[[#This Row],[Date]]</f>
        <v>45676</v>
      </c>
      <c r="B295" s="5" t="str">
        <f>FARM_DATA[[#This Row],[Farmer_Type]]</f>
        <v>Traditional</v>
      </c>
      <c r="C295" s="8">
        <f>FARM_DATA[[#This Row],[Income]]</f>
        <v>242.33</v>
      </c>
      <c r="D295" s="8">
        <f>FARM_DATA[[#This Row],[Irrigation]]</f>
        <v>80.97</v>
      </c>
      <c r="E295" s="8">
        <f>FARM_DATA[[#This Row],[Seeds]]</f>
        <v>32.82</v>
      </c>
      <c r="F295" s="8">
        <f>FARM_DATA[[#This Row],[Fertilizer]]</f>
        <v>37.74</v>
      </c>
      <c r="G295" s="8">
        <f>FARM_DATA[[#This Row],[Labor]]</f>
        <v>127.34</v>
      </c>
      <c r="H295" s="8">
        <f>FARM_DATA[[#This Row],[Household]]</f>
        <v>138.24</v>
      </c>
      <c r="I295" s="8">
        <f>FARM_DATA[[#This Row],[Medical]]</f>
        <v>28.48</v>
      </c>
      <c r="J295" s="8">
        <f>FARM_DATA[[#This Row],[Misc]]</f>
        <v>37.4</v>
      </c>
      <c r="K295" s="8">
        <f>FARM_DATA[[#This Row],[Total_Expenses]]</f>
        <v>482.99</v>
      </c>
      <c r="L295" s="30">
        <f>FARM_DATA[[#This Row],[Savings]]</f>
        <v>-240.66</v>
      </c>
      <c r="M295" s="5" t="str">
        <f>TEXT(CLEAN_TABLE[[#This Row],[Date]], "mmm")</f>
        <v>Jan</v>
      </c>
      <c r="N295" s="5">
        <f>YEAR(CLEAN_TABLE[[#This Row],[Date]])</f>
        <v>2025</v>
      </c>
      <c r="O295" s="5">
        <f>IF(CLEAN_TABLE[[#This Row],[Farmer_Type]]="Smart",0,1)</f>
        <v>1</v>
      </c>
      <c r="P295" s="7">
        <f>IFERROR(CLEAN_TABLE[[#This Row],[Savings]]/CLEAN_TABLE[[#This Row],[Income]],0)</f>
        <v>-0.99310857095695948</v>
      </c>
      <c r="Q295" s="7">
        <f>IF(CLEAN_TABLE[[#This Row],[Farmer_Type]]="Smart", 1 - (CLEAN_TABLE[[#This Row],[Irrigation]] / 70), 1 - (CLEAN_TABLE[[#This Row],[Irrigation]] / 150))</f>
        <v>0.46020000000000005</v>
      </c>
      <c r="R2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725.32</v>
      </c>
    </row>
    <row r="296" spans="1:19">
      <c r="A296" s="6">
        <f>FARM_DATA[[#This Row],[Date]]</f>
        <v>45677</v>
      </c>
      <c r="B296" s="5" t="str">
        <f>FARM_DATA[[#This Row],[Farmer_Type]]</f>
        <v>Smart</v>
      </c>
      <c r="C296" s="8">
        <f>FARM_DATA[[#This Row],[Income]]</f>
        <v>1086.71</v>
      </c>
      <c r="D296" s="8">
        <f>FARM_DATA[[#This Row],[Irrigation]]</f>
        <v>8.17</v>
      </c>
      <c r="E296" s="8">
        <f>FARM_DATA[[#This Row],[Seeds]]</f>
        <v>84.24</v>
      </c>
      <c r="F296" s="8">
        <f>FARM_DATA[[#This Row],[Fertilizer]]</f>
        <v>87.84</v>
      </c>
      <c r="G296" s="8">
        <f>FARM_DATA[[#This Row],[Labor]]</f>
        <v>87.61</v>
      </c>
      <c r="H296" s="8">
        <f>FARM_DATA[[#This Row],[Household]]</f>
        <v>175.02</v>
      </c>
      <c r="I296" s="8">
        <f>FARM_DATA[[#This Row],[Medical]]</f>
        <v>6.01</v>
      </c>
      <c r="J296" s="8">
        <f>FARM_DATA[[#This Row],[Misc]]</f>
        <v>46.13</v>
      </c>
      <c r="K296" s="8">
        <f>FARM_DATA[[#This Row],[Total_Expenses]]</f>
        <v>495.02</v>
      </c>
      <c r="L296" s="30">
        <f>FARM_DATA[[#This Row],[Savings]]</f>
        <v>591.69000000000005</v>
      </c>
      <c r="M296" s="5" t="str">
        <f>TEXT(CLEAN_TABLE[[#This Row],[Date]], "mmm")</f>
        <v>Jan</v>
      </c>
      <c r="N296" s="5">
        <f>YEAR(CLEAN_TABLE[[#This Row],[Date]])</f>
        <v>2025</v>
      </c>
      <c r="O296" s="5">
        <f>IF(CLEAN_TABLE[[#This Row],[Farmer_Type]]="Smart",0,1)</f>
        <v>0</v>
      </c>
      <c r="P296" s="7">
        <f>IFERROR(CLEAN_TABLE[[#This Row],[Savings]]/CLEAN_TABLE[[#This Row],[Income]],0)</f>
        <v>0.54447828767564488</v>
      </c>
      <c r="Q296" s="7">
        <f>IF(CLEAN_TABLE[[#This Row],[Farmer_Type]]="Smart", 1 - (CLEAN_TABLE[[#This Row],[Irrigation]] / 70), 1 - (CLEAN_TABLE[[#This Row],[Irrigation]] / 150))</f>
        <v>0.88328571428571423</v>
      </c>
      <c r="R2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1581.73</v>
      </c>
    </row>
    <row r="297" spans="1:19">
      <c r="A297" s="6">
        <f>FARM_DATA[[#This Row],[Date]]</f>
        <v>45678</v>
      </c>
      <c r="B297" s="5" t="str">
        <f>FARM_DATA[[#This Row],[Farmer_Type]]</f>
        <v>Smart</v>
      </c>
      <c r="C297" s="8">
        <f>FARM_DATA[[#This Row],[Income]]</f>
        <v>744.13</v>
      </c>
      <c r="D297" s="8">
        <f>FARM_DATA[[#This Row],[Irrigation]]</f>
        <v>8.24</v>
      </c>
      <c r="E297" s="8">
        <f>FARM_DATA[[#This Row],[Seeds]]</f>
        <v>29.55</v>
      </c>
      <c r="F297" s="8">
        <f>FARM_DATA[[#This Row],[Fertilizer]]</f>
        <v>113.38</v>
      </c>
      <c r="G297" s="8">
        <f>FARM_DATA[[#This Row],[Labor]]</f>
        <v>82.41</v>
      </c>
      <c r="H297" s="8">
        <f>FARM_DATA[[#This Row],[Household]]</f>
        <v>223.68</v>
      </c>
      <c r="I297" s="8">
        <f>FARM_DATA[[#This Row],[Medical]]</f>
        <v>17.18</v>
      </c>
      <c r="J297" s="8">
        <f>FARM_DATA[[#This Row],[Misc]]</f>
        <v>14.39</v>
      </c>
      <c r="K297" s="8">
        <f>FARM_DATA[[#This Row],[Total_Expenses]]</f>
        <v>488.83</v>
      </c>
      <c r="L297" s="30">
        <f>FARM_DATA[[#This Row],[Savings]]</f>
        <v>255.29</v>
      </c>
      <c r="M297" s="5" t="str">
        <f>TEXT(CLEAN_TABLE[[#This Row],[Date]], "mmm")</f>
        <v>Jan</v>
      </c>
      <c r="N297" s="5">
        <f>YEAR(CLEAN_TABLE[[#This Row],[Date]])</f>
        <v>2025</v>
      </c>
      <c r="O297" s="5">
        <f>IF(CLEAN_TABLE[[#This Row],[Farmer_Type]]="Smart",0,1)</f>
        <v>0</v>
      </c>
      <c r="P297" s="7">
        <f>IFERROR(CLEAN_TABLE[[#This Row],[Savings]]/CLEAN_TABLE[[#This Row],[Income]],0)</f>
        <v>0.34307177509306169</v>
      </c>
      <c r="Q297" s="7">
        <f>IF(CLEAN_TABLE[[#This Row],[Farmer_Type]]="Smart", 1 - (CLEAN_TABLE[[#This Row],[Irrigation]] / 70), 1 - (CLEAN_TABLE[[#This Row],[Irrigation]] / 150))</f>
        <v>0.88228571428571434</v>
      </c>
      <c r="R2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1232.96</v>
      </c>
    </row>
    <row r="298" spans="1:19">
      <c r="A298" s="6">
        <f>FARM_DATA[[#This Row],[Date]]</f>
        <v>45679</v>
      </c>
      <c r="B298" s="5" t="str">
        <f>FARM_DATA[[#This Row],[Farmer_Type]]</f>
        <v>Traditional</v>
      </c>
      <c r="C298" s="8">
        <f>FARM_DATA[[#This Row],[Income]]</f>
        <v>294.17</v>
      </c>
      <c r="D298" s="8">
        <f>FARM_DATA[[#This Row],[Irrigation]]</f>
        <v>82.36</v>
      </c>
      <c r="E298" s="8">
        <f>FARM_DATA[[#This Row],[Seeds]]</f>
        <v>37.659999999999997</v>
      </c>
      <c r="F298" s="8">
        <f>FARM_DATA[[#This Row],[Fertilizer]]</f>
        <v>44.03</v>
      </c>
      <c r="G298" s="8">
        <f>FARM_DATA[[#This Row],[Labor]]</f>
        <v>114</v>
      </c>
      <c r="H298" s="8">
        <f>FARM_DATA[[#This Row],[Household]]</f>
        <v>165.05</v>
      </c>
      <c r="I298" s="8">
        <f>FARM_DATA[[#This Row],[Medical]]</f>
        <v>28.94</v>
      </c>
      <c r="J298" s="8">
        <f>FARM_DATA[[#This Row],[Misc]]</f>
        <v>47.38</v>
      </c>
      <c r="K298" s="8">
        <f>FARM_DATA[[#This Row],[Total_Expenses]]</f>
        <v>519.42999999999995</v>
      </c>
      <c r="L298" s="30">
        <f>FARM_DATA[[#This Row],[Savings]]</f>
        <v>-225.26</v>
      </c>
      <c r="M298" s="5" t="str">
        <f>TEXT(CLEAN_TABLE[[#This Row],[Date]], "mmm")</f>
        <v>Jan</v>
      </c>
      <c r="N298" s="5">
        <f>YEAR(CLEAN_TABLE[[#This Row],[Date]])</f>
        <v>2025</v>
      </c>
      <c r="O298" s="5">
        <f>IF(CLEAN_TABLE[[#This Row],[Farmer_Type]]="Smart",0,1)</f>
        <v>1</v>
      </c>
      <c r="P298" s="7">
        <f>IFERROR(CLEAN_TABLE[[#This Row],[Savings]]/CLEAN_TABLE[[#This Row],[Income]],0)</f>
        <v>-0.76574769690994993</v>
      </c>
      <c r="Q298" s="7">
        <f>IF(CLEAN_TABLE[[#This Row],[Farmer_Type]]="Smart", 1 - (CLEAN_TABLE[[#This Row],[Irrigation]] / 70), 1 - (CLEAN_TABLE[[#This Row],[Irrigation]] / 150))</f>
        <v>0.4509333333333333</v>
      </c>
      <c r="R2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813.59</v>
      </c>
    </row>
    <row r="299" spans="1:19">
      <c r="A299" s="6">
        <f>FARM_DATA[[#This Row],[Date]]</f>
        <v>45680</v>
      </c>
      <c r="B299" s="5" t="str">
        <f>FARM_DATA[[#This Row],[Farmer_Type]]</f>
        <v>Smart</v>
      </c>
      <c r="C299" s="8">
        <f>FARM_DATA[[#This Row],[Income]]</f>
        <v>878.05</v>
      </c>
      <c r="D299" s="8">
        <f>FARM_DATA[[#This Row],[Irrigation]]</f>
        <v>8.3699999999999992</v>
      </c>
      <c r="E299" s="8">
        <f>FARM_DATA[[#This Row],[Seeds]]</f>
        <v>51.73</v>
      </c>
      <c r="F299" s="8">
        <f>FARM_DATA[[#This Row],[Fertilizer]]</f>
        <v>87.81</v>
      </c>
      <c r="G299" s="8">
        <f>FARM_DATA[[#This Row],[Labor]]</f>
        <v>75.72</v>
      </c>
      <c r="H299" s="8">
        <f>FARM_DATA[[#This Row],[Household]]</f>
        <v>136.5</v>
      </c>
      <c r="I299" s="8">
        <f>FARM_DATA[[#This Row],[Medical]]</f>
        <v>25.09</v>
      </c>
      <c r="J299" s="8">
        <f>FARM_DATA[[#This Row],[Misc]]</f>
        <v>39.270000000000003</v>
      </c>
      <c r="K299" s="8">
        <f>FARM_DATA[[#This Row],[Total_Expenses]]</f>
        <v>424.5</v>
      </c>
      <c r="L299" s="30">
        <f>FARM_DATA[[#This Row],[Savings]]</f>
        <v>453.55</v>
      </c>
      <c r="M299" s="5" t="str">
        <f>TEXT(CLEAN_TABLE[[#This Row],[Date]], "mmm")</f>
        <v>Jan</v>
      </c>
      <c r="N299" s="5">
        <f>YEAR(CLEAN_TABLE[[#This Row],[Date]])</f>
        <v>2025</v>
      </c>
      <c r="O299" s="5">
        <f>IF(CLEAN_TABLE[[#This Row],[Farmer_Type]]="Smart",0,1)</f>
        <v>0</v>
      </c>
      <c r="P299" s="7">
        <f>IFERROR(CLEAN_TABLE[[#This Row],[Savings]]/CLEAN_TABLE[[#This Row],[Income]],0)</f>
        <v>0.51654233813564154</v>
      </c>
      <c r="Q299" s="7">
        <f>IF(CLEAN_TABLE[[#This Row],[Farmer_Type]]="Smart", 1 - (CLEAN_TABLE[[#This Row],[Irrigation]] / 70), 1 - (CLEAN_TABLE[[#This Row],[Irrigation]] / 150))</f>
        <v>0.88042857142857145</v>
      </c>
      <c r="R2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1302.54</v>
      </c>
    </row>
    <row r="300" spans="1:19">
      <c r="A300" s="6">
        <f>FARM_DATA[[#This Row],[Date]]</f>
        <v>45681</v>
      </c>
      <c r="B300" s="5" t="str">
        <f>FARM_DATA[[#This Row],[Farmer_Type]]</f>
        <v>Traditional</v>
      </c>
      <c r="C300" s="8">
        <f>FARM_DATA[[#This Row],[Income]]</f>
        <v>351.64</v>
      </c>
      <c r="D300" s="8">
        <f>FARM_DATA[[#This Row],[Irrigation]]</f>
        <v>62.42</v>
      </c>
      <c r="E300" s="8">
        <f>FARM_DATA[[#This Row],[Seeds]]</f>
        <v>36.54</v>
      </c>
      <c r="F300" s="8">
        <f>FARM_DATA[[#This Row],[Fertilizer]]</f>
        <v>36.520000000000003</v>
      </c>
      <c r="G300" s="8">
        <f>FARM_DATA[[#This Row],[Labor]]</f>
        <v>132.25</v>
      </c>
      <c r="H300" s="8">
        <f>FARM_DATA[[#This Row],[Household]]</f>
        <v>181.06</v>
      </c>
      <c r="I300" s="8">
        <f>FARM_DATA[[#This Row],[Medical]]</f>
        <v>5.23</v>
      </c>
      <c r="J300" s="8">
        <f>FARM_DATA[[#This Row],[Misc]]</f>
        <v>18.850000000000001</v>
      </c>
      <c r="K300" s="8">
        <f>FARM_DATA[[#This Row],[Total_Expenses]]</f>
        <v>472.86</v>
      </c>
      <c r="L300" s="30">
        <f>FARM_DATA[[#This Row],[Savings]]</f>
        <v>-121.22</v>
      </c>
      <c r="M300" s="5" t="str">
        <f>TEXT(CLEAN_TABLE[[#This Row],[Date]], "mmm")</f>
        <v>Jan</v>
      </c>
      <c r="N300" s="5">
        <f>YEAR(CLEAN_TABLE[[#This Row],[Date]])</f>
        <v>2025</v>
      </c>
      <c r="O300" s="5">
        <f>IF(CLEAN_TABLE[[#This Row],[Farmer_Type]]="Smart",0,1)</f>
        <v>1</v>
      </c>
      <c r="P300" s="7">
        <f>IFERROR(CLEAN_TABLE[[#This Row],[Savings]]/CLEAN_TABLE[[#This Row],[Income]],0)</f>
        <v>-0.34472756227960416</v>
      </c>
      <c r="Q300" s="7">
        <f>IF(CLEAN_TABLE[[#This Row],[Farmer_Type]]="Smart", 1 - (CLEAN_TABLE[[#This Row],[Irrigation]] / 70), 1 - (CLEAN_TABLE[[#This Row],[Irrigation]] / 150))</f>
        <v>0.58386666666666664</v>
      </c>
      <c r="R3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824.5100000000001</v>
      </c>
    </row>
    <row r="301" spans="1:19">
      <c r="A301" s="6">
        <f>FARM_DATA[[#This Row],[Date]]</f>
        <v>45682</v>
      </c>
      <c r="B301" s="5" t="str">
        <f>FARM_DATA[[#This Row],[Farmer_Type]]</f>
        <v>Traditional</v>
      </c>
      <c r="C301" s="8">
        <f>FARM_DATA[[#This Row],[Income]]</f>
        <v>275.17</v>
      </c>
      <c r="D301" s="8">
        <f>FARM_DATA[[#This Row],[Irrigation]]</f>
        <v>63.5</v>
      </c>
      <c r="E301" s="8">
        <f>FARM_DATA[[#This Row],[Seeds]]</f>
        <v>38.75</v>
      </c>
      <c r="F301" s="8">
        <f>FARM_DATA[[#This Row],[Fertilizer]]</f>
        <v>26.01</v>
      </c>
      <c r="G301" s="8">
        <f>FARM_DATA[[#This Row],[Labor]]</f>
        <v>86.95</v>
      </c>
      <c r="H301" s="8">
        <f>FARM_DATA[[#This Row],[Household]]</f>
        <v>119.88</v>
      </c>
      <c r="I301" s="8">
        <f>FARM_DATA[[#This Row],[Medical]]</f>
        <v>21.66</v>
      </c>
      <c r="J301" s="8">
        <f>FARM_DATA[[#This Row],[Misc]]</f>
        <v>30.83</v>
      </c>
      <c r="K301" s="8">
        <f>FARM_DATA[[#This Row],[Total_Expenses]]</f>
        <v>387.58</v>
      </c>
      <c r="L301" s="30">
        <f>FARM_DATA[[#This Row],[Savings]]</f>
        <v>-112.41</v>
      </c>
      <c r="M301" s="5" t="str">
        <f>TEXT(CLEAN_TABLE[[#This Row],[Date]], "mmm")</f>
        <v>Jan</v>
      </c>
      <c r="N301" s="5">
        <f>YEAR(CLEAN_TABLE[[#This Row],[Date]])</f>
        <v>2025</v>
      </c>
      <c r="O301" s="5">
        <f>IF(CLEAN_TABLE[[#This Row],[Farmer_Type]]="Smart",0,1)</f>
        <v>1</v>
      </c>
      <c r="P301" s="7">
        <f>IFERROR(CLEAN_TABLE[[#This Row],[Savings]]/CLEAN_TABLE[[#This Row],[Income]],0)</f>
        <v>-0.40851110222771375</v>
      </c>
      <c r="Q301" s="7">
        <f>IF(CLEAN_TABLE[[#This Row],[Farmer_Type]]="Smart", 1 - (CLEAN_TABLE[[#This Row],[Irrigation]] / 70), 1 - (CLEAN_TABLE[[#This Row],[Irrigation]] / 150))</f>
        <v>0.57666666666666666</v>
      </c>
      <c r="R3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662.75</v>
      </c>
    </row>
    <row r="302" spans="1:19">
      <c r="A302" s="6">
        <f>FARM_DATA[[#This Row],[Date]]</f>
        <v>45683</v>
      </c>
      <c r="B302" s="5" t="str">
        <f>FARM_DATA[[#This Row],[Farmer_Type]]</f>
        <v>Smart</v>
      </c>
      <c r="C302" s="8">
        <f>FARM_DATA[[#This Row],[Income]]</f>
        <v>805.65</v>
      </c>
      <c r="D302" s="8">
        <f>FARM_DATA[[#This Row],[Irrigation]]</f>
        <v>15.88</v>
      </c>
      <c r="E302" s="8">
        <f>FARM_DATA[[#This Row],[Seeds]]</f>
        <v>49.07</v>
      </c>
      <c r="F302" s="8">
        <f>FARM_DATA[[#This Row],[Fertilizer]]</f>
        <v>71.849999999999994</v>
      </c>
      <c r="G302" s="8">
        <f>FARM_DATA[[#This Row],[Labor]]</f>
        <v>128.47</v>
      </c>
      <c r="H302" s="8">
        <f>FARM_DATA[[#This Row],[Household]]</f>
        <v>216.92</v>
      </c>
      <c r="I302" s="8">
        <f>FARM_DATA[[#This Row],[Medical]]</f>
        <v>10.3</v>
      </c>
      <c r="J302" s="8">
        <f>FARM_DATA[[#This Row],[Misc]]</f>
        <v>52.45</v>
      </c>
      <c r="K302" s="8">
        <f>FARM_DATA[[#This Row],[Total_Expenses]]</f>
        <v>544.94000000000005</v>
      </c>
      <c r="L302" s="30">
        <f>FARM_DATA[[#This Row],[Savings]]</f>
        <v>260.72000000000003</v>
      </c>
      <c r="M302" s="5" t="str">
        <f>TEXT(CLEAN_TABLE[[#This Row],[Date]], "mmm")</f>
        <v>Jan</v>
      </c>
      <c r="N302" s="5">
        <f>YEAR(CLEAN_TABLE[[#This Row],[Date]])</f>
        <v>2025</v>
      </c>
      <c r="O302" s="5">
        <f>IF(CLEAN_TABLE[[#This Row],[Farmer_Type]]="Smart",0,1)</f>
        <v>0</v>
      </c>
      <c r="P302" s="7">
        <f>IFERROR(CLEAN_TABLE[[#This Row],[Savings]]/CLEAN_TABLE[[#This Row],[Income]],0)</f>
        <v>0.32361447278594929</v>
      </c>
      <c r="Q302" s="7">
        <f>IF(CLEAN_TABLE[[#This Row],[Farmer_Type]]="Smart", 1 - (CLEAN_TABLE[[#This Row],[Irrigation]] / 70), 1 - (CLEAN_TABLE[[#This Row],[Irrigation]] / 150))</f>
        <v>0.77314285714285713</v>
      </c>
      <c r="R3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1350.5900000000001</v>
      </c>
    </row>
    <row r="303" spans="1:19">
      <c r="A303" s="6">
        <f>FARM_DATA[[#This Row],[Date]]</f>
        <v>45684</v>
      </c>
      <c r="B303" s="5" t="str">
        <f>FARM_DATA[[#This Row],[Farmer_Type]]</f>
        <v>Smart</v>
      </c>
      <c r="C303" s="8">
        <f>FARM_DATA[[#This Row],[Income]]</f>
        <v>1112.28</v>
      </c>
      <c r="D303" s="8">
        <f>FARM_DATA[[#This Row],[Irrigation]]</f>
        <v>9.26</v>
      </c>
      <c r="E303" s="8">
        <f>FARM_DATA[[#This Row],[Seeds]]</f>
        <v>76.38</v>
      </c>
      <c r="F303" s="8">
        <f>FARM_DATA[[#This Row],[Fertilizer]]</f>
        <v>126.14</v>
      </c>
      <c r="G303" s="8">
        <f>FARM_DATA[[#This Row],[Labor]]</f>
        <v>72.55</v>
      </c>
      <c r="H303" s="8">
        <f>FARM_DATA[[#This Row],[Household]]</f>
        <v>137.88999999999999</v>
      </c>
      <c r="I303" s="8">
        <f>FARM_DATA[[#This Row],[Medical]]</f>
        <v>31.16</v>
      </c>
      <c r="J303" s="8">
        <f>FARM_DATA[[#This Row],[Misc]]</f>
        <v>44.07</v>
      </c>
      <c r="K303" s="8">
        <f>FARM_DATA[[#This Row],[Total_Expenses]]</f>
        <v>497.44</v>
      </c>
      <c r="L303" s="30">
        <f>FARM_DATA[[#This Row],[Savings]]</f>
        <v>614.84</v>
      </c>
      <c r="M303" s="5" t="str">
        <f>TEXT(CLEAN_TABLE[[#This Row],[Date]], "mmm")</f>
        <v>Jan</v>
      </c>
      <c r="N303" s="5">
        <f>YEAR(CLEAN_TABLE[[#This Row],[Date]])</f>
        <v>2025</v>
      </c>
      <c r="O303" s="5">
        <f>IF(CLEAN_TABLE[[#This Row],[Farmer_Type]]="Smart",0,1)</f>
        <v>0</v>
      </c>
      <c r="P303" s="7">
        <f>IFERROR(CLEAN_TABLE[[#This Row],[Savings]]/CLEAN_TABLE[[#This Row],[Income]],0)</f>
        <v>0.55277448124572959</v>
      </c>
      <c r="Q303" s="7">
        <f>IF(CLEAN_TABLE[[#This Row],[Farmer_Type]]="Smart", 1 - (CLEAN_TABLE[[#This Row],[Irrigation]] / 70), 1 - (CLEAN_TABLE[[#This Row],[Irrigation]] / 150))</f>
        <v>0.86771428571428566</v>
      </c>
      <c r="R3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1609.73</v>
      </c>
    </row>
    <row r="304" spans="1:19">
      <c r="A304" s="6">
        <f>FARM_DATA[[#This Row],[Date]]</f>
        <v>45685</v>
      </c>
      <c r="B304" s="5" t="str">
        <f>FARM_DATA[[#This Row],[Farmer_Type]]</f>
        <v>Traditional</v>
      </c>
      <c r="C304" s="8">
        <f>FARM_DATA[[#This Row],[Income]]</f>
        <v>377.57</v>
      </c>
      <c r="D304" s="8">
        <f>FARM_DATA[[#This Row],[Irrigation]]</f>
        <v>73.41</v>
      </c>
      <c r="E304" s="8">
        <f>FARM_DATA[[#This Row],[Seeds]]</f>
        <v>45.86</v>
      </c>
      <c r="F304" s="8">
        <f>FARM_DATA[[#This Row],[Fertilizer]]</f>
        <v>28.47</v>
      </c>
      <c r="G304" s="8">
        <f>FARM_DATA[[#This Row],[Labor]]</f>
        <v>136.18</v>
      </c>
      <c r="H304" s="8">
        <f>FARM_DATA[[#This Row],[Household]]</f>
        <v>185.09</v>
      </c>
      <c r="I304" s="8">
        <f>FARM_DATA[[#This Row],[Medical]]</f>
        <v>18.16</v>
      </c>
      <c r="J304" s="8">
        <f>FARM_DATA[[#This Row],[Misc]]</f>
        <v>29.48</v>
      </c>
      <c r="K304" s="8">
        <f>FARM_DATA[[#This Row],[Total_Expenses]]</f>
        <v>516.65</v>
      </c>
      <c r="L304" s="30">
        <f>FARM_DATA[[#This Row],[Savings]]</f>
        <v>-139.08000000000001</v>
      </c>
      <c r="M304" s="5" t="str">
        <f>TEXT(CLEAN_TABLE[[#This Row],[Date]], "mmm")</f>
        <v>Jan</v>
      </c>
      <c r="N304" s="5">
        <f>YEAR(CLEAN_TABLE[[#This Row],[Date]])</f>
        <v>2025</v>
      </c>
      <c r="O304" s="5">
        <f>IF(CLEAN_TABLE[[#This Row],[Farmer_Type]]="Smart",0,1)</f>
        <v>1</v>
      </c>
      <c r="P304" s="7">
        <f>IFERROR(CLEAN_TABLE[[#This Row],[Savings]]/CLEAN_TABLE[[#This Row],[Income]],0)</f>
        <v>-0.36835553672166754</v>
      </c>
      <c r="Q304" s="7">
        <f>IF(CLEAN_TABLE[[#This Row],[Farmer_Type]]="Smart", 1 - (CLEAN_TABLE[[#This Row],[Irrigation]] / 70), 1 - (CLEAN_TABLE[[#This Row],[Irrigation]] / 150))</f>
        <v>0.51059999999999994</v>
      </c>
      <c r="R3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894.22</v>
      </c>
    </row>
    <row r="305" spans="1:19">
      <c r="A305" s="6">
        <f>FARM_DATA[[#This Row],[Date]]</f>
        <v>45686</v>
      </c>
      <c r="B305" s="5" t="str">
        <f>FARM_DATA[[#This Row],[Farmer_Type]]</f>
        <v>Traditional</v>
      </c>
      <c r="C305" s="8">
        <f>FARM_DATA[[#This Row],[Income]]</f>
        <v>273.44</v>
      </c>
      <c r="D305" s="8">
        <f>FARM_DATA[[#This Row],[Irrigation]]</f>
        <v>75.14</v>
      </c>
      <c r="E305" s="8">
        <f>FARM_DATA[[#This Row],[Seeds]]</f>
        <v>48.58</v>
      </c>
      <c r="F305" s="8">
        <f>FARM_DATA[[#This Row],[Fertilizer]]</f>
        <v>53.76</v>
      </c>
      <c r="G305" s="8">
        <f>FARM_DATA[[#This Row],[Labor]]</f>
        <v>138.11000000000001</v>
      </c>
      <c r="H305" s="8">
        <f>FARM_DATA[[#This Row],[Household]]</f>
        <v>139.97999999999999</v>
      </c>
      <c r="I305" s="8">
        <f>FARM_DATA[[#This Row],[Medical]]</f>
        <v>24.52</v>
      </c>
      <c r="J305" s="8">
        <f>FARM_DATA[[#This Row],[Misc]]</f>
        <v>17.760000000000002</v>
      </c>
      <c r="K305" s="8">
        <f>FARM_DATA[[#This Row],[Total_Expenses]]</f>
        <v>497.85</v>
      </c>
      <c r="L305" s="30">
        <f>FARM_DATA[[#This Row],[Savings]]</f>
        <v>-224.4</v>
      </c>
      <c r="M305" s="5" t="str">
        <f>TEXT(CLEAN_TABLE[[#This Row],[Date]], "mmm")</f>
        <v>Jan</v>
      </c>
      <c r="N305" s="5">
        <f>YEAR(CLEAN_TABLE[[#This Row],[Date]])</f>
        <v>2025</v>
      </c>
      <c r="O305" s="5">
        <f>IF(CLEAN_TABLE[[#This Row],[Farmer_Type]]="Smart",0,1)</f>
        <v>1</v>
      </c>
      <c r="P305" s="7">
        <f>IFERROR(CLEAN_TABLE[[#This Row],[Savings]]/CLEAN_TABLE[[#This Row],[Income]],0)</f>
        <v>-0.82065535400819201</v>
      </c>
      <c r="Q305" s="7">
        <f>IF(CLEAN_TABLE[[#This Row],[Farmer_Type]]="Smart", 1 - (CLEAN_TABLE[[#This Row],[Irrigation]] / 70), 1 - (CLEAN_TABLE[[#This Row],[Irrigation]] / 150))</f>
        <v>0.49906666666666666</v>
      </c>
      <c r="R3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771.29</v>
      </c>
    </row>
    <row r="306" spans="1:19">
      <c r="A306" s="6">
        <f>FARM_DATA[[#This Row],[Date]]</f>
        <v>45687</v>
      </c>
      <c r="B306" s="5" t="str">
        <f>FARM_DATA[[#This Row],[Farmer_Type]]</f>
        <v>Traditional</v>
      </c>
      <c r="C306" s="8">
        <f>FARM_DATA[[#This Row],[Income]]</f>
        <v>348.82</v>
      </c>
      <c r="D306" s="8">
        <f>FARM_DATA[[#This Row],[Irrigation]]</f>
        <v>68.260000000000005</v>
      </c>
      <c r="E306" s="8">
        <f>FARM_DATA[[#This Row],[Seeds]]</f>
        <v>43.38</v>
      </c>
      <c r="F306" s="8">
        <f>FARM_DATA[[#This Row],[Fertilizer]]</f>
        <v>47.61</v>
      </c>
      <c r="G306" s="8">
        <f>FARM_DATA[[#This Row],[Labor]]</f>
        <v>106.71</v>
      </c>
      <c r="H306" s="8">
        <f>FARM_DATA[[#This Row],[Household]]</f>
        <v>174.78</v>
      </c>
      <c r="I306" s="8">
        <f>FARM_DATA[[#This Row],[Medical]]</f>
        <v>16.510000000000002</v>
      </c>
      <c r="J306" s="8">
        <f>FARM_DATA[[#This Row],[Misc]]</f>
        <v>10.72</v>
      </c>
      <c r="K306" s="8">
        <f>FARM_DATA[[#This Row],[Total_Expenses]]</f>
        <v>467.97</v>
      </c>
      <c r="L306" s="30">
        <f>FARM_DATA[[#This Row],[Savings]]</f>
        <v>-119.14</v>
      </c>
      <c r="M306" s="5" t="str">
        <f>TEXT(CLEAN_TABLE[[#This Row],[Date]], "mmm")</f>
        <v>Jan</v>
      </c>
      <c r="N306" s="5">
        <f>YEAR(CLEAN_TABLE[[#This Row],[Date]])</f>
        <v>2025</v>
      </c>
      <c r="O306" s="5">
        <f>IF(CLEAN_TABLE[[#This Row],[Farmer_Type]]="Smart",0,1)</f>
        <v>1</v>
      </c>
      <c r="P306" s="7">
        <f>IFERROR(CLEAN_TABLE[[#This Row],[Savings]]/CLEAN_TABLE[[#This Row],[Income]],0)</f>
        <v>-0.34155151654148275</v>
      </c>
      <c r="Q306" s="7">
        <f>IF(CLEAN_TABLE[[#This Row],[Farmer_Type]]="Smart", 1 - (CLEAN_TABLE[[#This Row],[Irrigation]] / 70), 1 - (CLEAN_TABLE[[#This Row],[Irrigation]] / 150))</f>
        <v>0.54493333333333327</v>
      </c>
      <c r="R3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816.79</v>
      </c>
    </row>
    <row r="307" spans="1:19">
      <c r="A307" s="6">
        <f>FARM_DATA[[#This Row],[Date]]</f>
        <v>45688</v>
      </c>
      <c r="B307" s="5" t="str">
        <f>FARM_DATA[[#This Row],[Farmer_Type]]</f>
        <v>Traditional</v>
      </c>
      <c r="C307" s="8">
        <f>FARM_DATA[[#This Row],[Income]]</f>
        <v>437.48</v>
      </c>
      <c r="D307" s="8">
        <f>FARM_DATA[[#This Row],[Irrigation]]</f>
        <v>83.81</v>
      </c>
      <c r="E307" s="8">
        <f>FARM_DATA[[#This Row],[Seeds]]</f>
        <v>20.62</v>
      </c>
      <c r="F307" s="8">
        <f>FARM_DATA[[#This Row],[Fertilizer]]</f>
        <v>68.790000000000006</v>
      </c>
      <c r="G307" s="8">
        <f>FARM_DATA[[#This Row],[Labor]]</f>
        <v>97.43</v>
      </c>
      <c r="H307" s="8">
        <f>FARM_DATA[[#This Row],[Household]]</f>
        <v>157.9</v>
      </c>
      <c r="I307" s="8">
        <f>FARM_DATA[[#This Row],[Medical]]</f>
        <v>22.35</v>
      </c>
      <c r="J307" s="8">
        <f>FARM_DATA[[#This Row],[Misc]]</f>
        <v>27.19</v>
      </c>
      <c r="K307" s="8">
        <f>FARM_DATA[[#This Row],[Total_Expenses]]</f>
        <v>478.1</v>
      </c>
      <c r="L307" s="30">
        <f>FARM_DATA[[#This Row],[Savings]]</f>
        <v>-40.619999999999997</v>
      </c>
      <c r="M307" s="5" t="str">
        <f>TEXT(CLEAN_TABLE[[#This Row],[Date]], "mmm")</f>
        <v>Jan</v>
      </c>
      <c r="N307" s="5">
        <f>YEAR(CLEAN_TABLE[[#This Row],[Date]])</f>
        <v>2025</v>
      </c>
      <c r="O307" s="5">
        <f>IF(CLEAN_TABLE[[#This Row],[Farmer_Type]]="Smart",0,1)</f>
        <v>1</v>
      </c>
      <c r="P307" s="7">
        <f>IFERROR(CLEAN_TABLE[[#This Row],[Savings]]/CLEAN_TABLE[[#This Row],[Income]],0)</f>
        <v>-9.2849958855261941E-2</v>
      </c>
      <c r="Q307" s="7">
        <f>IF(CLEAN_TABLE[[#This Row],[Farmer_Type]]="Smart", 1 - (CLEAN_TABLE[[#This Row],[Irrigation]] / 70), 1 - (CLEAN_TABLE[[#This Row],[Irrigation]] / 150))</f>
        <v>0.4412666666666667</v>
      </c>
      <c r="R3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915.56999999999994</v>
      </c>
    </row>
    <row r="308" spans="1:19">
      <c r="A308" s="6">
        <f>FARM_DATA[[#This Row],[Date]]</f>
        <v>45689</v>
      </c>
      <c r="B308" s="5" t="str">
        <f>FARM_DATA[[#This Row],[Farmer_Type]]</f>
        <v>Smart</v>
      </c>
      <c r="C308" s="8">
        <f>FARM_DATA[[#This Row],[Income]]</f>
        <v>793.25</v>
      </c>
      <c r="D308" s="8">
        <f>FARM_DATA[[#This Row],[Irrigation]]</f>
        <v>11.55</v>
      </c>
      <c r="E308" s="8">
        <f>FARM_DATA[[#This Row],[Seeds]]</f>
        <v>41.68</v>
      </c>
      <c r="F308" s="8">
        <f>FARM_DATA[[#This Row],[Fertilizer]]</f>
        <v>55.05</v>
      </c>
      <c r="G308" s="8">
        <f>FARM_DATA[[#This Row],[Labor]]</f>
        <v>93.66</v>
      </c>
      <c r="H308" s="8">
        <f>FARM_DATA[[#This Row],[Household]]</f>
        <v>144.94999999999999</v>
      </c>
      <c r="I308" s="8">
        <f>FARM_DATA[[#This Row],[Medical]]</f>
        <v>28.14</v>
      </c>
      <c r="J308" s="8">
        <f>FARM_DATA[[#This Row],[Misc]]</f>
        <v>62.31</v>
      </c>
      <c r="K308" s="8">
        <f>FARM_DATA[[#This Row],[Total_Expenses]]</f>
        <v>437.32</v>
      </c>
      <c r="L308" s="30">
        <f>FARM_DATA[[#This Row],[Savings]]</f>
        <v>355.93</v>
      </c>
      <c r="M308" s="5" t="str">
        <f>TEXT(CLEAN_TABLE[[#This Row],[Date]], "mmm")</f>
        <v>Feb</v>
      </c>
      <c r="N308" s="5">
        <f>YEAR(CLEAN_TABLE[[#This Row],[Date]])</f>
        <v>2025</v>
      </c>
      <c r="O308" s="5">
        <f>IF(CLEAN_TABLE[[#This Row],[Farmer_Type]]="Smart",0,1)</f>
        <v>0</v>
      </c>
      <c r="P308" s="7">
        <f>IFERROR(CLEAN_TABLE[[#This Row],[Savings]]/CLEAN_TABLE[[#This Row],[Income]],0)</f>
        <v>0.44869839268830758</v>
      </c>
      <c r="Q308" s="7">
        <f>IF(CLEAN_TABLE[[#This Row],[Farmer_Type]]="Smart", 1 - (CLEAN_TABLE[[#This Row],[Irrigation]] / 70), 1 - (CLEAN_TABLE[[#This Row],[Irrigation]] / 150))</f>
        <v>0.83499999999999996</v>
      </c>
      <c r="R3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1230.5899999999999</v>
      </c>
    </row>
    <row r="309" spans="1:19">
      <c r="A309" s="6">
        <f>FARM_DATA[[#This Row],[Date]]</f>
        <v>45690</v>
      </c>
      <c r="B309" s="5" t="str">
        <f>FARM_DATA[[#This Row],[Farmer_Type]]</f>
        <v>Smart</v>
      </c>
      <c r="C309" s="8">
        <f>FARM_DATA[[#This Row],[Income]]</f>
        <v>833.99</v>
      </c>
      <c r="D309" s="8">
        <f>FARM_DATA[[#This Row],[Irrigation]]</f>
        <v>16.2</v>
      </c>
      <c r="E309" s="8">
        <f>FARM_DATA[[#This Row],[Seeds]]</f>
        <v>69.989999999999995</v>
      </c>
      <c r="F309" s="8">
        <f>FARM_DATA[[#This Row],[Fertilizer]]</f>
        <v>94.16</v>
      </c>
      <c r="G309" s="8">
        <f>FARM_DATA[[#This Row],[Labor]]</f>
        <v>96.52</v>
      </c>
      <c r="H309" s="8">
        <f>FARM_DATA[[#This Row],[Household]]</f>
        <v>195.99</v>
      </c>
      <c r="I309" s="8">
        <f>FARM_DATA[[#This Row],[Medical]]</f>
        <v>26.34</v>
      </c>
      <c r="J309" s="8">
        <f>FARM_DATA[[#This Row],[Misc]]</f>
        <v>21.44</v>
      </c>
      <c r="K309" s="8">
        <f>FARM_DATA[[#This Row],[Total_Expenses]]</f>
        <v>520.64</v>
      </c>
      <c r="L309" s="30">
        <f>FARM_DATA[[#This Row],[Savings]]</f>
        <v>313.35000000000002</v>
      </c>
      <c r="M309" s="5" t="str">
        <f>TEXT(CLEAN_TABLE[[#This Row],[Date]], "mmm")</f>
        <v>Feb</v>
      </c>
      <c r="N309" s="5">
        <f>YEAR(CLEAN_TABLE[[#This Row],[Date]])</f>
        <v>2025</v>
      </c>
      <c r="O309" s="5">
        <f>IF(CLEAN_TABLE[[#This Row],[Farmer_Type]]="Smart",0,1)</f>
        <v>0</v>
      </c>
      <c r="P309" s="7">
        <f>IFERROR(CLEAN_TABLE[[#This Row],[Savings]]/CLEAN_TABLE[[#This Row],[Income]],0)</f>
        <v>0.37572392954351974</v>
      </c>
      <c r="Q309" s="7">
        <f>IF(CLEAN_TABLE[[#This Row],[Farmer_Type]]="Smart", 1 - (CLEAN_TABLE[[#This Row],[Irrigation]] / 70), 1 - (CLEAN_TABLE[[#This Row],[Irrigation]] / 150))</f>
        <v>0.76857142857142857</v>
      </c>
      <c r="R3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1354.63</v>
      </c>
    </row>
    <row r="310" spans="1:19">
      <c r="A310" s="6">
        <f>FARM_DATA[[#This Row],[Date]]</f>
        <v>45691</v>
      </c>
      <c r="B310" s="5" t="str">
        <f>FARM_DATA[[#This Row],[Farmer_Type]]</f>
        <v>Traditional</v>
      </c>
      <c r="C310" s="8">
        <f>FARM_DATA[[#This Row],[Income]]</f>
        <v>393.46</v>
      </c>
      <c r="D310" s="8">
        <f>FARM_DATA[[#This Row],[Irrigation]]</f>
        <v>78.87</v>
      </c>
      <c r="E310" s="8">
        <f>FARM_DATA[[#This Row],[Seeds]]</f>
        <v>28.55</v>
      </c>
      <c r="F310" s="8">
        <f>FARM_DATA[[#This Row],[Fertilizer]]</f>
        <v>55.76</v>
      </c>
      <c r="G310" s="8">
        <f>FARM_DATA[[#This Row],[Labor]]</f>
        <v>127.08</v>
      </c>
      <c r="H310" s="8">
        <f>FARM_DATA[[#This Row],[Household]]</f>
        <v>143.72</v>
      </c>
      <c r="I310" s="8">
        <f>FARM_DATA[[#This Row],[Medical]]</f>
        <v>28.58</v>
      </c>
      <c r="J310" s="8">
        <f>FARM_DATA[[#This Row],[Misc]]</f>
        <v>58.37</v>
      </c>
      <c r="K310" s="8">
        <f>FARM_DATA[[#This Row],[Total_Expenses]]</f>
        <v>520.94000000000005</v>
      </c>
      <c r="L310" s="30">
        <f>FARM_DATA[[#This Row],[Savings]]</f>
        <v>-127.48</v>
      </c>
      <c r="M310" s="5" t="str">
        <f>TEXT(CLEAN_TABLE[[#This Row],[Date]], "mmm")</f>
        <v>Feb</v>
      </c>
      <c r="N310" s="5">
        <f>YEAR(CLEAN_TABLE[[#This Row],[Date]])</f>
        <v>2025</v>
      </c>
      <c r="O310" s="5">
        <f>IF(CLEAN_TABLE[[#This Row],[Farmer_Type]]="Smart",0,1)</f>
        <v>1</v>
      </c>
      <c r="P310" s="7">
        <f>IFERROR(CLEAN_TABLE[[#This Row],[Savings]]/CLEAN_TABLE[[#This Row],[Income]],0)</f>
        <v>-0.32399735678340874</v>
      </c>
      <c r="Q310" s="7">
        <f>IF(CLEAN_TABLE[[#This Row],[Farmer_Type]]="Smart", 1 - (CLEAN_TABLE[[#This Row],[Irrigation]] / 70), 1 - (CLEAN_TABLE[[#This Row],[Irrigation]] / 150))</f>
        <v>0.47419999999999995</v>
      </c>
      <c r="R3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914.3900000000001</v>
      </c>
    </row>
    <row r="311" spans="1:19">
      <c r="A311" s="6">
        <f>FARM_DATA[[#This Row],[Date]]</f>
        <v>45692</v>
      </c>
      <c r="B311" s="5" t="str">
        <f>FARM_DATA[[#This Row],[Farmer_Type]]</f>
        <v>Traditional</v>
      </c>
      <c r="C311" s="8">
        <f>FARM_DATA[[#This Row],[Income]]</f>
        <v>310.7</v>
      </c>
      <c r="D311" s="8">
        <f>FARM_DATA[[#This Row],[Irrigation]]</f>
        <v>56.19</v>
      </c>
      <c r="E311" s="8">
        <f>FARM_DATA[[#This Row],[Seeds]]</f>
        <v>44.56</v>
      </c>
      <c r="F311" s="8">
        <f>FARM_DATA[[#This Row],[Fertilizer]]</f>
        <v>69.430000000000007</v>
      </c>
      <c r="G311" s="8">
        <f>FARM_DATA[[#This Row],[Labor]]</f>
        <v>104.23</v>
      </c>
      <c r="H311" s="8">
        <f>FARM_DATA[[#This Row],[Household]]</f>
        <v>193.6</v>
      </c>
      <c r="I311" s="8">
        <f>FARM_DATA[[#This Row],[Medical]]</f>
        <v>9.2899999999999991</v>
      </c>
      <c r="J311" s="8">
        <f>FARM_DATA[[#This Row],[Misc]]</f>
        <v>38.32</v>
      </c>
      <c r="K311" s="8">
        <f>FARM_DATA[[#This Row],[Total_Expenses]]</f>
        <v>515.61</v>
      </c>
      <c r="L311" s="30">
        <f>FARM_DATA[[#This Row],[Savings]]</f>
        <v>-204.91</v>
      </c>
      <c r="M311" s="5" t="str">
        <f>TEXT(CLEAN_TABLE[[#This Row],[Date]], "mmm")</f>
        <v>Feb</v>
      </c>
      <c r="N311" s="5">
        <f>YEAR(CLEAN_TABLE[[#This Row],[Date]])</f>
        <v>2025</v>
      </c>
      <c r="O311" s="5">
        <f>IF(CLEAN_TABLE[[#This Row],[Farmer_Type]]="Smart",0,1)</f>
        <v>1</v>
      </c>
      <c r="P311" s="7">
        <f>IFERROR(CLEAN_TABLE[[#This Row],[Savings]]/CLEAN_TABLE[[#This Row],[Income]],0)</f>
        <v>-0.65951078210492442</v>
      </c>
      <c r="Q311" s="7">
        <f>IF(CLEAN_TABLE[[#This Row],[Farmer_Type]]="Smart", 1 - (CLEAN_TABLE[[#This Row],[Irrigation]] / 70), 1 - (CLEAN_TABLE[[#This Row],[Irrigation]] / 150))</f>
        <v>0.62539999999999996</v>
      </c>
      <c r="R3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826.32</v>
      </c>
    </row>
    <row r="312" spans="1:19">
      <c r="A312" s="6">
        <f>FARM_DATA[[#This Row],[Date]]</f>
        <v>45693</v>
      </c>
      <c r="B312" s="5" t="str">
        <f>FARM_DATA[[#This Row],[Farmer_Type]]</f>
        <v>Smart</v>
      </c>
      <c r="C312" s="8">
        <f>FARM_DATA[[#This Row],[Income]]</f>
        <v>828.83</v>
      </c>
      <c r="D312" s="8">
        <f>FARM_DATA[[#This Row],[Irrigation]]</f>
        <v>23.6</v>
      </c>
      <c r="E312" s="8">
        <f>FARM_DATA[[#This Row],[Seeds]]</f>
        <v>99.85</v>
      </c>
      <c r="F312" s="8">
        <f>FARM_DATA[[#This Row],[Fertilizer]]</f>
        <v>57</v>
      </c>
      <c r="G312" s="8">
        <f>FARM_DATA[[#This Row],[Labor]]</f>
        <v>84.01</v>
      </c>
      <c r="H312" s="8">
        <f>FARM_DATA[[#This Row],[Household]]</f>
        <v>200.09</v>
      </c>
      <c r="I312" s="8">
        <f>FARM_DATA[[#This Row],[Medical]]</f>
        <v>18.52</v>
      </c>
      <c r="J312" s="8">
        <f>FARM_DATA[[#This Row],[Misc]]</f>
        <v>39.32</v>
      </c>
      <c r="K312" s="8">
        <f>FARM_DATA[[#This Row],[Total_Expenses]]</f>
        <v>522.38</v>
      </c>
      <c r="L312" s="30">
        <f>FARM_DATA[[#This Row],[Savings]]</f>
        <v>306.45</v>
      </c>
      <c r="M312" s="5" t="str">
        <f>TEXT(CLEAN_TABLE[[#This Row],[Date]], "mmm")</f>
        <v>Feb</v>
      </c>
      <c r="N312" s="5">
        <f>YEAR(CLEAN_TABLE[[#This Row],[Date]])</f>
        <v>2025</v>
      </c>
      <c r="O312" s="5">
        <f>IF(CLEAN_TABLE[[#This Row],[Farmer_Type]]="Smart",0,1)</f>
        <v>0</v>
      </c>
      <c r="P312" s="7">
        <f>IFERROR(CLEAN_TABLE[[#This Row],[Savings]]/CLEAN_TABLE[[#This Row],[Income]],0)</f>
        <v>0.36973806450056101</v>
      </c>
      <c r="Q312" s="7">
        <f>IF(CLEAN_TABLE[[#This Row],[Farmer_Type]]="Smart", 1 - (CLEAN_TABLE[[#This Row],[Irrigation]] / 70), 1 - (CLEAN_TABLE[[#This Row],[Irrigation]] / 150))</f>
        <v>0.66285714285714281</v>
      </c>
      <c r="R3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1351.22</v>
      </c>
    </row>
    <row r="313" spans="1:19">
      <c r="A313" s="6">
        <f>FARM_DATA[[#This Row],[Date]]</f>
        <v>45694</v>
      </c>
      <c r="B313" s="5" t="str">
        <f>FARM_DATA[[#This Row],[Farmer_Type]]</f>
        <v>Smart</v>
      </c>
      <c r="C313" s="8">
        <f>FARM_DATA[[#This Row],[Income]]</f>
        <v>955.08</v>
      </c>
      <c r="D313" s="8">
        <f>FARM_DATA[[#This Row],[Irrigation]]</f>
        <v>5.4</v>
      </c>
      <c r="E313" s="8">
        <f>FARM_DATA[[#This Row],[Seeds]]</f>
        <v>59.72</v>
      </c>
      <c r="F313" s="8">
        <f>FARM_DATA[[#This Row],[Fertilizer]]</f>
        <v>59.31</v>
      </c>
      <c r="G313" s="8">
        <f>FARM_DATA[[#This Row],[Labor]]</f>
        <v>85.14</v>
      </c>
      <c r="H313" s="8">
        <f>FARM_DATA[[#This Row],[Household]]</f>
        <v>220.53</v>
      </c>
      <c r="I313" s="8">
        <f>FARM_DATA[[#This Row],[Medical]]</f>
        <v>10.69</v>
      </c>
      <c r="J313" s="8">
        <f>FARM_DATA[[#This Row],[Misc]]</f>
        <v>52.2</v>
      </c>
      <c r="K313" s="8">
        <f>FARM_DATA[[#This Row],[Total_Expenses]]</f>
        <v>492.99</v>
      </c>
      <c r="L313" s="30">
        <f>FARM_DATA[[#This Row],[Savings]]</f>
        <v>462.09</v>
      </c>
      <c r="M313" s="5" t="str">
        <f>TEXT(CLEAN_TABLE[[#This Row],[Date]], "mmm")</f>
        <v>Feb</v>
      </c>
      <c r="N313" s="5">
        <f>YEAR(CLEAN_TABLE[[#This Row],[Date]])</f>
        <v>2025</v>
      </c>
      <c r="O313" s="5">
        <f>IF(CLEAN_TABLE[[#This Row],[Farmer_Type]]="Smart",0,1)</f>
        <v>0</v>
      </c>
      <c r="P313" s="7">
        <f>IFERROR(CLEAN_TABLE[[#This Row],[Savings]]/CLEAN_TABLE[[#This Row],[Income]],0)</f>
        <v>0.48382334464128657</v>
      </c>
      <c r="Q313" s="7">
        <f>IF(CLEAN_TABLE[[#This Row],[Farmer_Type]]="Smart", 1 - (CLEAN_TABLE[[#This Row],[Irrigation]] / 70), 1 - (CLEAN_TABLE[[#This Row],[Irrigation]] / 150))</f>
        <v>0.92285714285714282</v>
      </c>
      <c r="R3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1448.0700000000002</v>
      </c>
    </row>
    <row r="314" spans="1:19">
      <c r="A314" s="6">
        <f>FARM_DATA[[#This Row],[Date]]</f>
        <v>45695</v>
      </c>
      <c r="B314" s="5" t="str">
        <f>FARM_DATA[[#This Row],[Farmer_Type]]</f>
        <v>Smart</v>
      </c>
      <c r="C314" s="8">
        <f>FARM_DATA[[#This Row],[Income]]</f>
        <v>894.21</v>
      </c>
      <c r="D314" s="8">
        <f>FARM_DATA[[#This Row],[Irrigation]]</f>
        <v>13.6</v>
      </c>
      <c r="E314" s="8">
        <f>FARM_DATA[[#This Row],[Seeds]]</f>
        <v>75.81</v>
      </c>
      <c r="F314" s="8">
        <f>FARM_DATA[[#This Row],[Fertilizer]]</f>
        <v>90.2</v>
      </c>
      <c r="G314" s="8">
        <f>FARM_DATA[[#This Row],[Labor]]</f>
        <v>106.41</v>
      </c>
      <c r="H314" s="8">
        <f>FARM_DATA[[#This Row],[Household]]</f>
        <v>203.89</v>
      </c>
      <c r="I314" s="8">
        <f>FARM_DATA[[#This Row],[Medical]]</f>
        <v>19.02</v>
      </c>
      <c r="J314" s="8">
        <f>FARM_DATA[[#This Row],[Misc]]</f>
        <v>30.82</v>
      </c>
      <c r="K314" s="8">
        <f>FARM_DATA[[#This Row],[Total_Expenses]]</f>
        <v>539.74</v>
      </c>
      <c r="L314" s="30">
        <f>FARM_DATA[[#This Row],[Savings]]</f>
        <v>354.46</v>
      </c>
      <c r="M314" s="5" t="str">
        <f>TEXT(CLEAN_TABLE[[#This Row],[Date]], "mmm")</f>
        <v>Feb</v>
      </c>
      <c r="N314" s="5">
        <f>YEAR(CLEAN_TABLE[[#This Row],[Date]])</f>
        <v>2025</v>
      </c>
      <c r="O314" s="5">
        <f>IF(CLEAN_TABLE[[#This Row],[Farmer_Type]]="Smart",0,1)</f>
        <v>0</v>
      </c>
      <c r="P314" s="7">
        <f>IFERROR(CLEAN_TABLE[[#This Row],[Savings]]/CLEAN_TABLE[[#This Row],[Income]],0)</f>
        <v>0.39639458292794755</v>
      </c>
      <c r="Q314" s="7">
        <f>IF(CLEAN_TABLE[[#This Row],[Farmer_Type]]="Smart", 1 - (CLEAN_TABLE[[#This Row],[Irrigation]] / 70), 1 - (CLEAN_TABLE[[#This Row],[Irrigation]] / 150))</f>
        <v>0.80571428571428572</v>
      </c>
      <c r="R3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1433.9600000000003</v>
      </c>
    </row>
    <row r="315" spans="1:19">
      <c r="A315" s="6">
        <f>FARM_DATA[[#This Row],[Date]]</f>
        <v>45696</v>
      </c>
      <c r="B315" s="5" t="str">
        <f>FARM_DATA[[#This Row],[Farmer_Type]]</f>
        <v>Traditional</v>
      </c>
      <c r="C315" s="8">
        <f>FARM_DATA[[#This Row],[Income]]</f>
        <v>295.74</v>
      </c>
      <c r="D315" s="8">
        <f>FARM_DATA[[#This Row],[Irrigation]]</f>
        <v>61.75</v>
      </c>
      <c r="E315" s="8">
        <f>FARM_DATA[[#This Row],[Seeds]]</f>
        <v>84.24</v>
      </c>
      <c r="F315" s="8">
        <f>FARM_DATA[[#This Row],[Fertilizer]]</f>
        <v>79.89</v>
      </c>
      <c r="G315" s="8">
        <f>FARM_DATA[[#This Row],[Labor]]</f>
        <v>76.22</v>
      </c>
      <c r="H315" s="8">
        <f>FARM_DATA[[#This Row],[Household]]</f>
        <v>110.33</v>
      </c>
      <c r="I315" s="8">
        <f>FARM_DATA[[#This Row],[Medical]]</f>
        <v>23.85</v>
      </c>
      <c r="J315" s="8">
        <f>FARM_DATA[[#This Row],[Misc]]</f>
        <v>36.57</v>
      </c>
      <c r="K315" s="8">
        <f>FARM_DATA[[#This Row],[Total_Expenses]]</f>
        <v>472.85</v>
      </c>
      <c r="L315" s="30">
        <f>FARM_DATA[[#This Row],[Savings]]</f>
        <v>-177.1</v>
      </c>
      <c r="M315" s="5" t="str">
        <f>TEXT(CLEAN_TABLE[[#This Row],[Date]], "mmm")</f>
        <v>Feb</v>
      </c>
      <c r="N315" s="5">
        <f>YEAR(CLEAN_TABLE[[#This Row],[Date]])</f>
        <v>2025</v>
      </c>
      <c r="O315" s="5">
        <f>IF(CLEAN_TABLE[[#This Row],[Farmer_Type]]="Smart",0,1)</f>
        <v>1</v>
      </c>
      <c r="P315" s="7">
        <f>IFERROR(CLEAN_TABLE[[#This Row],[Savings]]/CLEAN_TABLE[[#This Row],[Income]],0)</f>
        <v>-0.59883681612226958</v>
      </c>
      <c r="Q315" s="7">
        <f>IF(CLEAN_TABLE[[#This Row],[Farmer_Type]]="Smart", 1 - (CLEAN_TABLE[[#This Row],[Irrigation]] / 70), 1 - (CLEAN_TABLE[[#This Row],[Irrigation]] / 150))</f>
        <v>0.58833333333333337</v>
      </c>
      <c r="R3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768.59000000000015</v>
      </c>
    </row>
    <row r="316" spans="1:19">
      <c r="A316" s="6">
        <f>FARM_DATA[[#This Row],[Date]]</f>
        <v>45697</v>
      </c>
      <c r="B316" s="5" t="str">
        <f>FARM_DATA[[#This Row],[Farmer_Type]]</f>
        <v>Traditional</v>
      </c>
      <c r="C316" s="8">
        <f>FARM_DATA[[#This Row],[Income]]</f>
        <v>377.44</v>
      </c>
      <c r="D316" s="8">
        <f>FARM_DATA[[#This Row],[Irrigation]]</f>
        <v>67.45</v>
      </c>
      <c r="E316" s="8">
        <f>FARM_DATA[[#This Row],[Seeds]]</f>
        <v>38.119999999999997</v>
      </c>
      <c r="F316" s="8">
        <f>FARM_DATA[[#This Row],[Fertilizer]]</f>
        <v>61.56</v>
      </c>
      <c r="G316" s="8">
        <f>FARM_DATA[[#This Row],[Labor]]</f>
        <v>112.15</v>
      </c>
      <c r="H316" s="8">
        <f>FARM_DATA[[#This Row],[Household]]</f>
        <v>83.42</v>
      </c>
      <c r="I316" s="8">
        <f>FARM_DATA[[#This Row],[Medical]]</f>
        <v>18.16</v>
      </c>
      <c r="J316" s="8">
        <f>FARM_DATA[[#This Row],[Misc]]</f>
        <v>19.78</v>
      </c>
      <c r="K316" s="8">
        <f>FARM_DATA[[#This Row],[Total_Expenses]]</f>
        <v>400.64</v>
      </c>
      <c r="L316" s="30">
        <f>FARM_DATA[[#This Row],[Savings]]</f>
        <v>-23.2</v>
      </c>
      <c r="M316" s="5" t="str">
        <f>TEXT(CLEAN_TABLE[[#This Row],[Date]], "mmm")</f>
        <v>Feb</v>
      </c>
      <c r="N316" s="5">
        <f>YEAR(CLEAN_TABLE[[#This Row],[Date]])</f>
        <v>2025</v>
      </c>
      <c r="O316" s="5">
        <f>IF(CLEAN_TABLE[[#This Row],[Farmer_Type]]="Smart",0,1)</f>
        <v>1</v>
      </c>
      <c r="P316" s="7">
        <f>IFERROR(CLEAN_TABLE[[#This Row],[Savings]]/CLEAN_TABLE[[#This Row],[Income]],0)</f>
        <v>-6.1466723187791436E-2</v>
      </c>
      <c r="Q316" s="7">
        <f>IF(CLEAN_TABLE[[#This Row],[Farmer_Type]]="Smart", 1 - (CLEAN_TABLE[[#This Row],[Irrigation]] / 70), 1 - (CLEAN_TABLE[[#This Row],[Irrigation]] / 150))</f>
        <v>0.55033333333333334</v>
      </c>
      <c r="R3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778.07999999999981</v>
      </c>
    </row>
    <row r="317" spans="1:19">
      <c r="A317" s="6">
        <f>FARM_DATA[[#This Row],[Date]]</f>
        <v>45698</v>
      </c>
      <c r="B317" s="5" t="str">
        <f>FARM_DATA[[#This Row],[Farmer_Type]]</f>
        <v>Traditional</v>
      </c>
      <c r="C317" s="8">
        <f>FARM_DATA[[#This Row],[Income]]</f>
        <v>358.76</v>
      </c>
      <c r="D317" s="8">
        <f>FARM_DATA[[#This Row],[Irrigation]]</f>
        <v>99.85</v>
      </c>
      <c r="E317" s="8">
        <f>FARM_DATA[[#This Row],[Seeds]]</f>
        <v>45.51</v>
      </c>
      <c r="F317" s="8">
        <f>FARM_DATA[[#This Row],[Fertilizer]]</f>
        <v>48.73</v>
      </c>
      <c r="G317" s="8">
        <f>FARM_DATA[[#This Row],[Labor]]</f>
        <v>133.05000000000001</v>
      </c>
      <c r="H317" s="8">
        <f>FARM_DATA[[#This Row],[Household]]</f>
        <v>164.48</v>
      </c>
      <c r="I317" s="8">
        <f>FARM_DATA[[#This Row],[Medical]]</f>
        <v>23.36</v>
      </c>
      <c r="J317" s="8">
        <f>FARM_DATA[[#This Row],[Misc]]</f>
        <v>37.28</v>
      </c>
      <c r="K317" s="8">
        <f>FARM_DATA[[#This Row],[Total_Expenses]]</f>
        <v>552.26</v>
      </c>
      <c r="L317" s="30">
        <f>FARM_DATA[[#This Row],[Savings]]</f>
        <v>-193.5</v>
      </c>
      <c r="M317" s="5" t="str">
        <f>TEXT(CLEAN_TABLE[[#This Row],[Date]], "mmm")</f>
        <v>Feb</v>
      </c>
      <c r="N317" s="5">
        <f>YEAR(CLEAN_TABLE[[#This Row],[Date]])</f>
        <v>2025</v>
      </c>
      <c r="O317" s="5">
        <f>IF(CLEAN_TABLE[[#This Row],[Farmer_Type]]="Smart",0,1)</f>
        <v>1</v>
      </c>
      <c r="P317" s="7">
        <f>IFERROR(CLEAN_TABLE[[#This Row],[Savings]]/CLEAN_TABLE[[#This Row],[Income]],0)</f>
        <v>-0.5393577879362248</v>
      </c>
      <c r="Q317" s="7">
        <f>IF(CLEAN_TABLE[[#This Row],[Farmer_Type]]="Smart", 1 - (CLEAN_TABLE[[#This Row],[Irrigation]] / 70), 1 - (CLEAN_TABLE[[#This Row],[Irrigation]] / 150))</f>
        <v>0.33433333333333337</v>
      </c>
      <c r="R3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911.0200000000001</v>
      </c>
    </row>
    <row r="318" spans="1:19">
      <c r="A318" s="6">
        <f>FARM_DATA[[#This Row],[Date]]</f>
        <v>45699</v>
      </c>
      <c r="B318" s="5" t="str">
        <f>FARM_DATA[[#This Row],[Farmer_Type]]</f>
        <v>Traditional</v>
      </c>
      <c r="C318" s="8">
        <f>FARM_DATA[[#This Row],[Income]]</f>
        <v>452.83</v>
      </c>
      <c r="D318" s="8">
        <f>FARM_DATA[[#This Row],[Irrigation]]</f>
        <v>58.69</v>
      </c>
      <c r="E318" s="8">
        <f>FARM_DATA[[#This Row],[Seeds]]</f>
        <v>47.1</v>
      </c>
      <c r="F318" s="8">
        <f>FARM_DATA[[#This Row],[Fertilizer]]</f>
        <v>36.47</v>
      </c>
      <c r="G318" s="8">
        <f>FARM_DATA[[#This Row],[Labor]]</f>
        <v>123.89</v>
      </c>
      <c r="H318" s="8">
        <f>FARM_DATA[[#This Row],[Household]]</f>
        <v>122.44</v>
      </c>
      <c r="I318" s="8">
        <f>FARM_DATA[[#This Row],[Medical]]</f>
        <v>16.66</v>
      </c>
      <c r="J318" s="8">
        <f>FARM_DATA[[#This Row],[Misc]]</f>
        <v>26.46</v>
      </c>
      <c r="K318" s="8">
        <f>FARM_DATA[[#This Row],[Total_Expenses]]</f>
        <v>431.72</v>
      </c>
      <c r="L318" s="30">
        <f>FARM_DATA[[#This Row],[Savings]]</f>
        <v>21.11</v>
      </c>
      <c r="M318" s="5" t="str">
        <f>TEXT(CLEAN_TABLE[[#This Row],[Date]], "mmm")</f>
        <v>Feb</v>
      </c>
      <c r="N318" s="5">
        <f>YEAR(CLEAN_TABLE[[#This Row],[Date]])</f>
        <v>2025</v>
      </c>
      <c r="O318" s="5">
        <f>IF(CLEAN_TABLE[[#This Row],[Farmer_Type]]="Smart",0,1)</f>
        <v>1</v>
      </c>
      <c r="P318" s="7">
        <f>IFERROR(CLEAN_TABLE[[#This Row],[Savings]]/CLEAN_TABLE[[#This Row],[Income]],0)</f>
        <v>4.6617936090806708E-2</v>
      </c>
      <c r="Q318" s="7">
        <f>IF(CLEAN_TABLE[[#This Row],[Farmer_Type]]="Smart", 1 - (CLEAN_TABLE[[#This Row],[Irrigation]] / 70), 1 - (CLEAN_TABLE[[#This Row],[Irrigation]] / 150))</f>
        <v>0.60873333333333335</v>
      </c>
      <c r="R3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3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884.54000000000008</v>
      </c>
    </row>
    <row r="319" spans="1:19">
      <c r="A319" s="6">
        <f>FARM_DATA[[#This Row],[Date]]</f>
        <v>45700</v>
      </c>
      <c r="B319" s="5" t="str">
        <f>FARM_DATA[[#This Row],[Farmer_Type]]</f>
        <v>Smart</v>
      </c>
      <c r="C319" s="8">
        <f>FARM_DATA[[#This Row],[Income]]</f>
        <v>1145.1600000000001</v>
      </c>
      <c r="D319" s="8">
        <f>FARM_DATA[[#This Row],[Irrigation]]</f>
        <v>19.59</v>
      </c>
      <c r="E319" s="8">
        <f>FARM_DATA[[#This Row],[Seeds]]</f>
        <v>35.090000000000003</v>
      </c>
      <c r="F319" s="8">
        <f>FARM_DATA[[#This Row],[Fertilizer]]</f>
        <v>81.650000000000006</v>
      </c>
      <c r="G319" s="8">
        <f>FARM_DATA[[#This Row],[Labor]]</f>
        <v>80.81</v>
      </c>
      <c r="H319" s="8">
        <f>FARM_DATA[[#This Row],[Household]]</f>
        <v>125.95</v>
      </c>
      <c r="I319" s="8">
        <f>FARM_DATA[[#This Row],[Medical]]</f>
        <v>20.05</v>
      </c>
      <c r="J319" s="8">
        <f>FARM_DATA[[#This Row],[Misc]]</f>
        <v>35.369999999999997</v>
      </c>
      <c r="K319" s="8">
        <f>FARM_DATA[[#This Row],[Total_Expenses]]</f>
        <v>398.51</v>
      </c>
      <c r="L319" s="30">
        <f>FARM_DATA[[#This Row],[Savings]]</f>
        <v>746.66</v>
      </c>
      <c r="M319" s="5" t="str">
        <f>TEXT(CLEAN_TABLE[[#This Row],[Date]], "mmm")</f>
        <v>Feb</v>
      </c>
      <c r="N319" s="5">
        <f>YEAR(CLEAN_TABLE[[#This Row],[Date]])</f>
        <v>2025</v>
      </c>
      <c r="O319" s="5">
        <f>IF(CLEAN_TABLE[[#This Row],[Farmer_Type]]="Smart",0,1)</f>
        <v>0</v>
      </c>
      <c r="P319" s="7">
        <f>IFERROR(CLEAN_TABLE[[#This Row],[Savings]]/CLEAN_TABLE[[#This Row],[Income]],0)</f>
        <v>0.65201369240979423</v>
      </c>
      <c r="Q319" s="7">
        <f>IF(CLEAN_TABLE[[#This Row],[Farmer_Type]]="Smart", 1 - (CLEAN_TABLE[[#This Row],[Irrigation]] / 70), 1 - (CLEAN_TABLE[[#This Row],[Irrigation]] / 150))</f>
        <v>0.7201428571428572</v>
      </c>
      <c r="R3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1543.6699999999998</v>
      </c>
    </row>
    <row r="320" spans="1:19">
      <c r="A320" s="6">
        <f>FARM_DATA[[#This Row],[Date]]</f>
        <v>45701</v>
      </c>
      <c r="B320" s="5" t="str">
        <f>FARM_DATA[[#This Row],[Farmer_Type]]</f>
        <v>Traditional</v>
      </c>
      <c r="C320" s="8">
        <f>FARM_DATA[[#This Row],[Income]]</f>
        <v>471.34</v>
      </c>
      <c r="D320" s="8">
        <f>FARM_DATA[[#This Row],[Irrigation]]</f>
        <v>74.33</v>
      </c>
      <c r="E320" s="8">
        <f>FARM_DATA[[#This Row],[Seeds]]</f>
        <v>19.34</v>
      </c>
      <c r="F320" s="8">
        <f>FARM_DATA[[#This Row],[Fertilizer]]</f>
        <v>43.7</v>
      </c>
      <c r="G320" s="8">
        <f>FARM_DATA[[#This Row],[Labor]]</f>
        <v>135.53</v>
      </c>
      <c r="H320" s="8">
        <f>FARM_DATA[[#This Row],[Household]]</f>
        <v>212.65</v>
      </c>
      <c r="I320" s="8">
        <f>FARM_DATA[[#This Row],[Medical]]</f>
        <v>7.31</v>
      </c>
      <c r="J320" s="8">
        <f>FARM_DATA[[#This Row],[Misc]]</f>
        <v>7.44</v>
      </c>
      <c r="K320" s="8">
        <f>FARM_DATA[[#This Row],[Total_Expenses]]</f>
        <v>500.31</v>
      </c>
      <c r="L320" s="30">
        <f>FARM_DATA[[#This Row],[Savings]]</f>
        <v>-28.97</v>
      </c>
      <c r="M320" s="5" t="str">
        <f>TEXT(CLEAN_TABLE[[#This Row],[Date]], "mmm")</f>
        <v>Feb</v>
      </c>
      <c r="N320" s="5">
        <f>YEAR(CLEAN_TABLE[[#This Row],[Date]])</f>
        <v>2025</v>
      </c>
      <c r="O320" s="5">
        <f>IF(CLEAN_TABLE[[#This Row],[Farmer_Type]]="Smart",0,1)</f>
        <v>1</v>
      </c>
      <c r="P320" s="7">
        <f>IFERROR(CLEAN_TABLE[[#This Row],[Savings]]/CLEAN_TABLE[[#This Row],[Income]],0)</f>
        <v>-6.14630627572453E-2</v>
      </c>
      <c r="Q320" s="7">
        <f>IF(CLEAN_TABLE[[#This Row],[Farmer_Type]]="Smart", 1 - (CLEAN_TABLE[[#This Row],[Irrigation]] / 70), 1 - (CLEAN_TABLE[[#This Row],[Irrigation]] / 150))</f>
        <v>0.50446666666666662</v>
      </c>
      <c r="R3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971.64</v>
      </c>
    </row>
    <row r="321" spans="1:19">
      <c r="A321" s="6">
        <f>FARM_DATA[[#This Row],[Date]]</f>
        <v>45702</v>
      </c>
      <c r="B321" s="5" t="str">
        <f>FARM_DATA[[#This Row],[Farmer_Type]]</f>
        <v>Smart</v>
      </c>
      <c r="C321" s="8">
        <f>FARM_DATA[[#This Row],[Income]]</f>
        <v>1324.19</v>
      </c>
      <c r="D321" s="8">
        <f>FARM_DATA[[#This Row],[Irrigation]]</f>
        <v>16.95</v>
      </c>
      <c r="E321" s="8">
        <f>FARM_DATA[[#This Row],[Seeds]]</f>
        <v>42.63</v>
      </c>
      <c r="F321" s="8">
        <f>FARM_DATA[[#This Row],[Fertilizer]]</f>
        <v>96.04</v>
      </c>
      <c r="G321" s="8">
        <f>FARM_DATA[[#This Row],[Labor]]</f>
        <v>42.29</v>
      </c>
      <c r="H321" s="8">
        <f>FARM_DATA[[#This Row],[Household]]</f>
        <v>170.12</v>
      </c>
      <c r="I321" s="8">
        <f>FARM_DATA[[#This Row],[Medical]]</f>
        <v>24.95</v>
      </c>
      <c r="J321" s="8">
        <f>FARM_DATA[[#This Row],[Misc]]</f>
        <v>53.86</v>
      </c>
      <c r="K321" s="8">
        <f>FARM_DATA[[#This Row],[Total_Expenses]]</f>
        <v>446.84</v>
      </c>
      <c r="L321" s="30">
        <f>FARM_DATA[[#This Row],[Savings]]</f>
        <v>877.35</v>
      </c>
      <c r="M321" s="5" t="str">
        <f>TEXT(CLEAN_TABLE[[#This Row],[Date]], "mmm")</f>
        <v>Feb</v>
      </c>
      <c r="N321" s="5">
        <f>YEAR(CLEAN_TABLE[[#This Row],[Date]])</f>
        <v>2025</v>
      </c>
      <c r="O321" s="5">
        <f>IF(CLEAN_TABLE[[#This Row],[Farmer_Type]]="Smart",0,1)</f>
        <v>0</v>
      </c>
      <c r="P321" s="7">
        <f>IFERROR(CLEAN_TABLE[[#This Row],[Savings]]/CLEAN_TABLE[[#This Row],[Income]],0)</f>
        <v>0.6625559776165052</v>
      </c>
      <c r="Q321" s="7">
        <f>IF(CLEAN_TABLE[[#This Row],[Farmer_Type]]="Smart", 1 - (CLEAN_TABLE[[#This Row],[Irrigation]] / 70), 1 - (CLEAN_TABLE[[#This Row],[Irrigation]] / 150))</f>
        <v>0.7578571428571429</v>
      </c>
      <c r="R3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1771.0300000000002</v>
      </c>
    </row>
    <row r="322" spans="1:19">
      <c r="A322" s="6">
        <f>FARM_DATA[[#This Row],[Date]]</f>
        <v>45703</v>
      </c>
      <c r="B322" s="5" t="str">
        <f>FARM_DATA[[#This Row],[Farmer_Type]]</f>
        <v>Traditional</v>
      </c>
      <c r="C322" s="8">
        <f>FARM_DATA[[#This Row],[Income]]</f>
        <v>299.31</v>
      </c>
      <c r="D322" s="8">
        <f>FARM_DATA[[#This Row],[Irrigation]]</f>
        <v>70.86</v>
      </c>
      <c r="E322" s="8">
        <f>FARM_DATA[[#This Row],[Seeds]]</f>
        <v>26.12</v>
      </c>
      <c r="F322" s="8">
        <f>FARM_DATA[[#This Row],[Fertilizer]]</f>
        <v>60.11</v>
      </c>
      <c r="G322" s="8">
        <f>FARM_DATA[[#This Row],[Labor]]</f>
        <v>87.62</v>
      </c>
      <c r="H322" s="8">
        <f>FARM_DATA[[#This Row],[Household]]</f>
        <v>137.76</v>
      </c>
      <c r="I322" s="8">
        <f>FARM_DATA[[#This Row],[Medical]]</f>
        <v>12.03</v>
      </c>
      <c r="J322" s="8">
        <f>FARM_DATA[[#This Row],[Misc]]</f>
        <v>37.81</v>
      </c>
      <c r="K322" s="8">
        <f>FARM_DATA[[#This Row],[Total_Expenses]]</f>
        <v>432.3</v>
      </c>
      <c r="L322" s="30">
        <f>FARM_DATA[[#This Row],[Savings]]</f>
        <v>-133</v>
      </c>
      <c r="M322" s="5" t="str">
        <f>TEXT(CLEAN_TABLE[[#This Row],[Date]], "mmm")</f>
        <v>Feb</v>
      </c>
      <c r="N322" s="5">
        <f>YEAR(CLEAN_TABLE[[#This Row],[Date]])</f>
        <v>2025</v>
      </c>
      <c r="O322" s="5">
        <f>IF(CLEAN_TABLE[[#This Row],[Farmer_Type]]="Smart",0,1)</f>
        <v>1</v>
      </c>
      <c r="P322" s="7">
        <f>IFERROR(CLEAN_TABLE[[#This Row],[Savings]]/CLEAN_TABLE[[#This Row],[Income]],0)</f>
        <v>-0.44435535063980486</v>
      </c>
      <c r="Q322" s="7">
        <f>IF(CLEAN_TABLE[[#This Row],[Farmer_Type]]="Smart", 1 - (CLEAN_TABLE[[#This Row],[Irrigation]] / 70), 1 - (CLEAN_TABLE[[#This Row],[Irrigation]] / 150))</f>
        <v>0.52760000000000007</v>
      </c>
      <c r="R3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731.61999999999989</v>
      </c>
    </row>
    <row r="323" spans="1:19">
      <c r="A323" s="6">
        <f>FARM_DATA[[#This Row],[Date]]</f>
        <v>45704</v>
      </c>
      <c r="B323" s="5" t="str">
        <f>FARM_DATA[[#This Row],[Farmer_Type]]</f>
        <v>Traditional</v>
      </c>
      <c r="C323" s="8">
        <f>FARM_DATA[[#This Row],[Income]]</f>
        <v>392.92</v>
      </c>
      <c r="D323" s="8">
        <f>FARM_DATA[[#This Row],[Irrigation]]</f>
        <v>67.650000000000006</v>
      </c>
      <c r="E323" s="8">
        <f>FARM_DATA[[#This Row],[Seeds]]</f>
        <v>40.57</v>
      </c>
      <c r="F323" s="8">
        <f>FARM_DATA[[#This Row],[Fertilizer]]</f>
        <v>26.03</v>
      </c>
      <c r="G323" s="8">
        <f>FARM_DATA[[#This Row],[Labor]]</f>
        <v>102.51</v>
      </c>
      <c r="H323" s="8">
        <f>FARM_DATA[[#This Row],[Household]]</f>
        <v>148.49</v>
      </c>
      <c r="I323" s="8">
        <f>FARM_DATA[[#This Row],[Medical]]</f>
        <v>40.97</v>
      </c>
      <c r="J323" s="8">
        <f>FARM_DATA[[#This Row],[Misc]]</f>
        <v>16.66</v>
      </c>
      <c r="K323" s="8">
        <f>FARM_DATA[[#This Row],[Total_Expenses]]</f>
        <v>442.88</v>
      </c>
      <c r="L323" s="30">
        <f>FARM_DATA[[#This Row],[Savings]]</f>
        <v>-49.96</v>
      </c>
      <c r="M323" s="5" t="str">
        <f>TEXT(CLEAN_TABLE[[#This Row],[Date]], "mmm")</f>
        <v>Feb</v>
      </c>
      <c r="N323" s="5">
        <f>YEAR(CLEAN_TABLE[[#This Row],[Date]])</f>
        <v>2025</v>
      </c>
      <c r="O323" s="5">
        <f>IF(CLEAN_TABLE[[#This Row],[Farmer_Type]]="Smart",0,1)</f>
        <v>1</v>
      </c>
      <c r="P323" s="7">
        <f>IFERROR(CLEAN_TABLE[[#This Row],[Savings]]/CLEAN_TABLE[[#This Row],[Income]],0)</f>
        <v>-0.127150565000509</v>
      </c>
      <c r="Q323" s="7">
        <f>IF(CLEAN_TABLE[[#This Row],[Farmer_Type]]="Smart", 1 - (CLEAN_TABLE[[#This Row],[Irrigation]] / 70), 1 - (CLEAN_TABLE[[#This Row],[Irrigation]] / 150))</f>
        <v>0.54899999999999993</v>
      </c>
      <c r="R3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835.80000000000007</v>
      </c>
    </row>
    <row r="324" spans="1:19">
      <c r="A324" s="6">
        <f>FARM_DATA[[#This Row],[Date]]</f>
        <v>45705</v>
      </c>
      <c r="B324" s="5" t="str">
        <f>FARM_DATA[[#This Row],[Farmer_Type]]</f>
        <v>Smart</v>
      </c>
      <c r="C324" s="8">
        <f>FARM_DATA[[#This Row],[Income]]</f>
        <v>1242.8399999999999</v>
      </c>
      <c r="D324" s="8">
        <f>FARM_DATA[[#This Row],[Irrigation]]</f>
        <v>19.98</v>
      </c>
      <c r="E324" s="8">
        <f>FARM_DATA[[#This Row],[Seeds]]</f>
        <v>65.61</v>
      </c>
      <c r="F324" s="8">
        <f>FARM_DATA[[#This Row],[Fertilizer]]</f>
        <v>132.76</v>
      </c>
      <c r="G324" s="8">
        <f>FARM_DATA[[#This Row],[Labor]]</f>
        <v>102.44</v>
      </c>
      <c r="H324" s="8">
        <f>FARM_DATA[[#This Row],[Household]]</f>
        <v>183.62</v>
      </c>
      <c r="I324" s="8">
        <f>FARM_DATA[[#This Row],[Medical]]</f>
        <v>21.52</v>
      </c>
      <c r="J324" s="8">
        <f>FARM_DATA[[#This Row],[Misc]]</f>
        <v>58.35</v>
      </c>
      <c r="K324" s="8">
        <f>FARM_DATA[[#This Row],[Total_Expenses]]</f>
        <v>584.29</v>
      </c>
      <c r="L324" s="30">
        <f>FARM_DATA[[#This Row],[Savings]]</f>
        <v>658.54</v>
      </c>
      <c r="M324" s="5" t="str">
        <f>TEXT(CLEAN_TABLE[[#This Row],[Date]], "mmm")</f>
        <v>Feb</v>
      </c>
      <c r="N324" s="5">
        <f>YEAR(CLEAN_TABLE[[#This Row],[Date]])</f>
        <v>2025</v>
      </c>
      <c r="O324" s="5">
        <f>IF(CLEAN_TABLE[[#This Row],[Farmer_Type]]="Smart",0,1)</f>
        <v>0</v>
      </c>
      <c r="P324" s="7">
        <f>IFERROR(CLEAN_TABLE[[#This Row],[Savings]]/CLEAN_TABLE[[#This Row],[Income]],0)</f>
        <v>0.52986707862637183</v>
      </c>
      <c r="Q324" s="7">
        <f>IF(CLEAN_TABLE[[#This Row],[Farmer_Type]]="Smart", 1 - (CLEAN_TABLE[[#This Row],[Irrigation]] / 70), 1 - (CLEAN_TABLE[[#This Row],[Irrigation]] / 150))</f>
        <v>0.71457142857142864</v>
      </c>
      <c r="R3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1827.12</v>
      </c>
    </row>
    <row r="325" spans="1:19">
      <c r="A325" s="6">
        <f>FARM_DATA[[#This Row],[Date]]</f>
        <v>45706</v>
      </c>
      <c r="B325" s="5" t="str">
        <f>FARM_DATA[[#This Row],[Farmer_Type]]</f>
        <v>Traditional</v>
      </c>
      <c r="C325" s="8">
        <f>FARM_DATA[[#This Row],[Income]]</f>
        <v>404.82</v>
      </c>
      <c r="D325" s="8">
        <f>FARM_DATA[[#This Row],[Irrigation]]</f>
        <v>63.74</v>
      </c>
      <c r="E325" s="8">
        <f>FARM_DATA[[#This Row],[Seeds]]</f>
        <v>20.21</v>
      </c>
      <c r="F325" s="8">
        <f>FARM_DATA[[#This Row],[Fertilizer]]</f>
        <v>50.94</v>
      </c>
      <c r="G325" s="8">
        <f>FARM_DATA[[#This Row],[Labor]]</f>
        <v>90</v>
      </c>
      <c r="H325" s="8">
        <f>FARM_DATA[[#This Row],[Household]]</f>
        <v>148.09</v>
      </c>
      <c r="I325" s="8">
        <f>FARM_DATA[[#This Row],[Medical]]</f>
        <v>29.9</v>
      </c>
      <c r="J325" s="8">
        <f>FARM_DATA[[#This Row],[Misc]]</f>
        <v>24.51</v>
      </c>
      <c r="K325" s="8">
        <f>FARM_DATA[[#This Row],[Total_Expenses]]</f>
        <v>427.4</v>
      </c>
      <c r="L325" s="30">
        <f>FARM_DATA[[#This Row],[Savings]]</f>
        <v>-22.58</v>
      </c>
      <c r="M325" s="5" t="str">
        <f>TEXT(CLEAN_TABLE[[#This Row],[Date]], "mmm")</f>
        <v>Feb</v>
      </c>
      <c r="N325" s="5">
        <f>YEAR(CLEAN_TABLE[[#This Row],[Date]])</f>
        <v>2025</v>
      </c>
      <c r="O325" s="5">
        <f>IF(CLEAN_TABLE[[#This Row],[Farmer_Type]]="Smart",0,1)</f>
        <v>1</v>
      </c>
      <c r="P325" s="7">
        <f>IFERROR(CLEAN_TABLE[[#This Row],[Savings]]/CLEAN_TABLE[[#This Row],[Income]],0)</f>
        <v>-5.5777876587125137E-2</v>
      </c>
      <c r="Q325" s="7">
        <f>IF(CLEAN_TABLE[[#This Row],[Farmer_Type]]="Smart", 1 - (CLEAN_TABLE[[#This Row],[Irrigation]] / 70), 1 - (CLEAN_TABLE[[#This Row],[Irrigation]] / 150))</f>
        <v>0.57506666666666661</v>
      </c>
      <c r="R3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832.21</v>
      </c>
    </row>
    <row r="326" spans="1:19">
      <c r="A326" s="6">
        <f>FARM_DATA[[#This Row],[Date]]</f>
        <v>45707</v>
      </c>
      <c r="B326" s="5" t="str">
        <f>FARM_DATA[[#This Row],[Farmer_Type]]</f>
        <v>Smart</v>
      </c>
      <c r="C326" s="8">
        <f>FARM_DATA[[#This Row],[Income]]</f>
        <v>941.44</v>
      </c>
      <c r="D326" s="8">
        <f>FARM_DATA[[#This Row],[Irrigation]]</f>
        <v>15.29</v>
      </c>
      <c r="E326" s="8">
        <f>FARM_DATA[[#This Row],[Seeds]]</f>
        <v>76.97</v>
      </c>
      <c r="F326" s="8">
        <f>FARM_DATA[[#This Row],[Fertilizer]]</f>
        <v>12.59</v>
      </c>
      <c r="G326" s="8">
        <f>FARM_DATA[[#This Row],[Labor]]</f>
        <v>82.87</v>
      </c>
      <c r="H326" s="8">
        <f>FARM_DATA[[#This Row],[Household]]</f>
        <v>177.39</v>
      </c>
      <c r="I326" s="8">
        <f>FARM_DATA[[#This Row],[Medical]]</f>
        <v>32.799999999999997</v>
      </c>
      <c r="J326" s="8">
        <f>FARM_DATA[[#This Row],[Misc]]</f>
        <v>32.619999999999997</v>
      </c>
      <c r="K326" s="8">
        <f>FARM_DATA[[#This Row],[Total_Expenses]]</f>
        <v>430.54</v>
      </c>
      <c r="L326" s="30">
        <f>FARM_DATA[[#This Row],[Savings]]</f>
        <v>510.9</v>
      </c>
      <c r="M326" s="5" t="str">
        <f>TEXT(CLEAN_TABLE[[#This Row],[Date]], "mmm")</f>
        <v>Feb</v>
      </c>
      <c r="N326" s="5">
        <f>YEAR(CLEAN_TABLE[[#This Row],[Date]])</f>
        <v>2025</v>
      </c>
      <c r="O326" s="5">
        <f>IF(CLEAN_TABLE[[#This Row],[Farmer_Type]]="Smart",0,1)</f>
        <v>0</v>
      </c>
      <c r="P326" s="7">
        <f>IFERROR(CLEAN_TABLE[[#This Row],[Savings]]/CLEAN_TABLE[[#This Row],[Income]],0)</f>
        <v>0.542679299796057</v>
      </c>
      <c r="Q326" s="7">
        <f>IF(CLEAN_TABLE[[#This Row],[Farmer_Type]]="Smart", 1 - (CLEAN_TABLE[[#This Row],[Irrigation]] / 70), 1 - (CLEAN_TABLE[[#This Row],[Irrigation]] / 150))</f>
        <v>0.78157142857142858</v>
      </c>
      <c r="R3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1371.9699999999996</v>
      </c>
    </row>
    <row r="327" spans="1:19">
      <c r="A327" s="6">
        <f>FARM_DATA[[#This Row],[Date]]</f>
        <v>45708</v>
      </c>
      <c r="B327" s="5" t="str">
        <f>FARM_DATA[[#This Row],[Farmer_Type]]</f>
        <v>Smart</v>
      </c>
      <c r="C327" s="8">
        <f>FARM_DATA[[#This Row],[Income]]</f>
        <v>574.69000000000005</v>
      </c>
      <c r="D327" s="8">
        <f>FARM_DATA[[#This Row],[Irrigation]]</f>
        <v>18.100000000000001</v>
      </c>
      <c r="E327" s="8">
        <f>FARM_DATA[[#This Row],[Seeds]]</f>
        <v>47.29</v>
      </c>
      <c r="F327" s="8">
        <f>FARM_DATA[[#This Row],[Fertilizer]]</f>
        <v>44.31</v>
      </c>
      <c r="G327" s="8">
        <f>FARM_DATA[[#This Row],[Labor]]</f>
        <v>82.51</v>
      </c>
      <c r="H327" s="8">
        <f>FARM_DATA[[#This Row],[Household]]</f>
        <v>163.54</v>
      </c>
      <c r="I327" s="8">
        <f>FARM_DATA[[#This Row],[Medical]]</f>
        <v>16.559999999999999</v>
      </c>
      <c r="J327" s="8">
        <f>FARM_DATA[[#This Row],[Misc]]</f>
        <v>6.92</v>
      </c>
      <c r="K327" s="8">
        <f>FARM_DATA[[#This Row],[Total_Expenses]]</f>
        <v>379.23</v>
      </c>
      <c r="L327" s="30">
        <f>FARM_DATA[[#This Row],[Savings]]</f>
        <v>195.46</v>
      </c>
      <c r="M327" s="5" t="str">
        <f>TEXT(CLEAN_TABLE[[#This Row],[Date]], "mmm")</f>
        <v>Feb</v>
      </c>
      <c r="N327" s="5">
        <f>YEAR(CLEAN_TABLE[[#This Row],[Date]])</f>
        <v>2025</v>
      </c>
      <c r="O327" s="5">
        <f>IF(CLEAN_TABLE[[#This Row],[Farmer_Type]]="Smart",0,1)</f>
        <v>0</v>
      </c>
      <c r="P327" s="7">
        <f>IFERROR(CLEAN_TABLE[[#This Row],[Savings]]/CLEAN_TABLE[[#This Row],[Income]],0)</f>
        <v>0.34011380048373901</v>
      </c>
      <c r="Q327" s="7">
        <f>IF(CLEAN_TABLE[[#This Row],[Farmer_Type]]="Smart", 1 - (CLEAN_TABLE[[#This Row],[Irrigation]] / 70), 1 - (CLEAN_TABLE[[#This Row],[Irrigation]] / 150))</f>
        <v>0.74142857142857133</v>
      </c>
      <c r="R3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953.92</v>
      </c>
    </row>
    <row r="328" spans="1:19">
      <c r="A328" s="6">
        <f>FARM_DATA[[#This Row],[Date]]</f>
        <v>45709</v>
      </c>
      <c r="B328" s="5" t="str">
        <f>FARM_DATA[[#This Row],[Farmer_Type]]</f>
        <v>Traditional</v>
      </c>
      <c r="C328" s="8">
        <f>FARM_DATA[[#This Row],[Income]]</f>
        <v>394.85</v>
      </c>
      <c r="D328" s="8">
        <f>FARM_DATA[[#This Row],[Irrigation]]</f>
        <v>82.75</v>
      </c>
      <c r="E328" s="8">
        <f>FARM_DATA[[#This Row],[Seeds]]</f>
        <v>49.77</v>
      </c>
      <c r="F328" s="8">
        <f>FARM_DATA[[#This Row],[Fertilizer]]</f>
        <v>32.25</v>
      </c>
      <c r="G328" s="8">
        <f>FARM_DATA[[#This Row],[Labor]]</f>
        <v>104.96</v>
      </c>
      <c r="H328" s="8">
        <f>FARM_DATA[[#This Row],[Household]]</f>
        <v>149.80000000000001</v>
      </c>
      <c r="I328" s="8">
        <f>FARM_DATA[[#This Row],[Medical]]</f>
        <v>24.79</v>
      </c>
      <c r="J328" s="8">
        <f>FARM_DATA[[#This Row],[Misc]]</f>
        <v>38.020000000000003</v>
      </c>
      <c r="K328" s="8">
        <f>FARM_DATA[[#This Row],[Total_Expenses]]</f>
        <v>482.35</v>
      </c>
      <c r="L328" s="30">
        <f>FARM_DATA[[#This Row],[Savings]]</f>
        <v>-87.49</v>
      </c>
      <c r="M328" s="5" t="str">
        <f>TEXT(CLEAN_TABLE[[#This Row],[Date]], "mmm")</f>
        <v>Feb</v>
      </c>
      <c r="N328" s="5">
        <f>YEAR(CLEAN_TABLE[[#This Row],[Date]])</f>
        <v>2025</v>
      </c>
      <c r="O328" s="5">
        <f>IF(CLEAN_TABLE[[#This Row],[Farmer_Type]]="Smart",0,1)</f>
        <v>1</v>
      </c>
      <c r="P328" s="7">
        <f>IFERROR(CLEAN_TABLE[[#This Row],[Savings]]/CLEAN_TABLE[[#This Row],[Income]],0)</f>
        <v>-0.22157781435988347</v>
      </c>
      <c r="Q328" s="7">
        <f>IF(CLEAN_TABLE[[#This Row],[Farmer_Type]]="Smart", 1 - (CLEAN_TABLE[[#This Row],[Irrigation]] / 70), 1 - (CLEAN_TABLE[[#This Row],[Irrigation]] / 150))</f>
        <v>0.44833333333333336</v>
      </c>
      <c r="R3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877.19</v>
      </c>
    </row>
    <row r="329" spans="1:19">
      <c r="A329" s="6">
        <f>FARM_DATA[[#This Row],[Date]]</f>
        <v>45710</v>
      </c>
      <c r="B329" s="5" t="str">
        <f>FARM_DATA[[#This Row],[Farmer_Type]]</f>
        <v>Smart</v>
      </c>
      <c r="C329" s="8">
        <f>FARM_DATA[[#This Row],[Income]]</f>
        <v>803.17</v>
      </c>
      <c r="D329" s="8">
        <f>FARM_DATA[[#This Row],[Irrigation]]</f>
        <v>15.41</v>
      </c>
      <c r="E329" s="8">
        <f>FARM_DATA[[#This Row],[Seeds]]</f>
        <v>69.150000000000006</v>
      </c>
      <c r="F329" s="8">
        <f>FARM_DATA[[#This Row],[Fertilizer]]</f>
        <v>123.67</v>
      </c>
      <c r="G329" s="8">
        <f>FARM_DATA[[#This Row],[Labor]]</f>
        <v>109.09</v>
      </c>
      <c r="H329" s="8">
        <f>FARM_DATA[[#This Row],[Household]]</f>
        <v>197.62</v>
      </c>
      <c r="I329" s="8">
        <f>FARM_DATA[[#This Row],[Medical]]</f>
        <v>22.75</v>
      </c>
      <c r="J329" s="8">
        <f>FARM_DATA[[#This Row],[Misc]]</f>
        <v>61.16</v>
      </c>
      <c r="K329" s="8">
        <f>FARM_DATA[[#This Row],[Total_Expenses]]</f>
        <v>598.85</v>
      </c>
      <c r="L329" s="30">
        <f>FARM_DATA[[#This Row],[Savings]]</f>
        <v>204.32</v>
      </c>
      <c r="M329" s="5" t="str">
        <f>TEXT(CLEAN_TABLE[[#This Row],[Date]], "mmm")</f>
        <v>Feb</v>
      </c>
      <c r="N329" s="5">
        <f>YEAR(CLEAN_TABLE[[#This Row],[Date]])</f>
        <v>2025</v>
      </c>
      <c r="O329" s="5">
        <f>IF(CLEAN_TABLE[[#This Row],[Farmer_Type]]="Smart",0,1)</f>
        <v>0</v>
      </c>
      <c r="P329" s="7">
        <f>IFERROR(CLEAN_TABLE[[#This Row],[Savings]]/CLEAN_TABLE[[#This Row],[Income]],0)</f>
        <v>0.25439197181169615</v>
      </c>
      <c r="Q329" s="7">
        <f>IF(CLEAN_TABLE[[#This Row],[Farmer_Type]]="Smart", 1 - (CLEAN_TABLE[[#This Row],[Irrigation]] / 70), 1 - (CLEAN_TABLE[[#This Row],[Irrigation]] / 150))</f>
        <v>0.7798571428571428</v>
      </c>
      <c r="R3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1402.0199999999998</v>
      </c>
    </row>
    <row r="330" spans="1:19">
      <c r="A330" s="6">
        <f>FARM_DATA[[#This Row],[Date]]</f>
        <v>45711</v>
      </c>
      <c r="B330" s="5" t="str">
        <f>FARM_DATA[[#This Row],[Farmer_Type]]</f>
        <v>Traditional</v>
      </c>
      <c r="C330" s="8">
        <f>FARM_DATA[[#This Row],[Income]]</f>
        <v>370.49</v>
      </c>
      <c r="D330" s="8">
        <f>FARM_DATA[[#This Row],[Irrigation]]</f>
        <v>61.39</v>
      </c>
      <c r="E330" s="8">
        <f>FARM_DATA[[#This Row],[Seeds]]</f>
        <v>61.05</v>
      </c>
      <c r="F330" s="8">
        <f>FARM_DATA[[#This Row],[Fertilizer]]</f>
        <v>68.959999999999994</v>
      </c>
      <c r="G330" s="8">
        <f>FARM_DATA[[#This Row],[Labor]]</f>
        <v>98.92</v>
      </c>
      <c r="H330" s="8">
        <f>FARM_DATA[[#This Row],[Household]]</f>
        <v>135.62</v>
      </c>
      <c r="I330" s="8">
        <f>FARM_DATA[[#This Row],[Medical]]</f>
        <v>22.37</v>
      </c>
      <c r="J330" s="8">
        <f>FARM_DATA[[#This Row],[Misc]]</f>
        <v>35.56</v>
      </c>
      <c r="K330" s="8">
        <f>FARM_DATA[[#This Row],[Total_Expenses]]</f>
        <v>483.87</v>
      </c>
      <c r="L330" s="30">
        <f>FARM_DATA[[#This Row],[Savings]]</f>
        <v>-113.38</v>
      </c>
      <c r="M330" s="5" t="str">
        <f>TEXT(CLEAN_TABLE[[#This Row],[Date]], "mmm")</f>
        <v>Feb</v>
      </c>
      <c r="N330" s="5">
        <f>YEAR(CLEAN_TABLE[[#This Row],[Date]])</f>
        <v>2025</v>
      </c>
      <c r="O330" s="5">
        <f>IF(CLEAN_TABLE[[#This Row],[Farmer_Type]]="Smart",0,1)</f>
        <v>1</v>
      </c>
      <c r="P330" s="7">
        <f>IFERROR(CLEAN_TABLE[[#This Row],[Savings]]/CLEAN_TABLE[[#This Row],[Income]],0)</f>
        <v>-0.30602715322950685</v>
      </c>
      <c r="Q330" s="7">
        <f>IF(CLEAN_TABLE[[#This Row],[Farmer_Type]]="Smart", 1 - (CLEAN_TABLE[[#This Row],[Irrigation]] / 70), 1 - (CLEAN_TABLE[[#This Row],[Irrigation]] / 150))</f>
        <v>0.59073333333333333</v>
      </c>
      <c r="R3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854.3599999999999</v>
      </c>
    </row>
    <row r="331" spans="1:19">
      <c r="A331" s="6">
        <f>FARM_DATA[[#This Row],[Date]]</f>
        <v>45712</v>
      </c>
      <c r="B331" s="5" t="str">
        <f>FARM_DATA[[#This Row],[Farmer_Type]]</f>
        <v>Smart</v>
      </c>
      <c r="C331" s="8">
        <f>FARM_DATA[[#This Row],[Income]]</f>
        <v>989.46</v>
      </c>
      <c r="D331" s="8">
        <f>FARM_DATA[[#This Row],[Irrigation]]</f>
        <v>16.559999999999999</v>
      </c>
      <c r="E331" s="8">
        <f>FARM_DATA[[#This Row],[Seeds]]</f>
        <v>94</v>
      </c>
      <c r="F331" s="8">
        <f>FARM_DATA[[#This Row],[Fertilizer]]</f>
        <v>112.15</v>
      </c>
      <c r="G331" s="8">
        <f>FARM_DATA[[#This Row],[Labor]]</f>
        <v>98.81</v>
      </c>
      <c r="H331" s="8">
        <f>FARM_DATA[[#This Row],[Household]]</f>
        <v>202.95</v>
      </c>
      <c r="I331" s="8">
        <f>FARM_DATA[[#This Row],[Medical]]</f>
        <v>12.71</v>
      </c>
      <c r="J331" s="8">
        <f>FARM_DATA[[#This Row],[Misc]]</f>
        <v>45.97</v>
      </c>
      <c r="K331" s="8">
        <f>FARM_DATA[[#This Row],[Total_Expenses]]</f>
        <v>583.14</v>
      </c>
      <c r="L331" s="30">
        <f>FARM_DATA[[#This Row],[Savings]]</f>
        <v>406.32</v>
      </c>
      <c r="M331" s="5" t="str">
        <f>TEXT(CLEAN_TABLE[[#This Row],[Date]], "mmm")</f>
        <v>Feb</v>
      </c>
      <c r="N331" s="5">
        <f>YEAR(CLEAN_TABLE[[#This Row],[Date]])</f>
        <v>2025</v>
      </c>
      <c r="O331" s="5">
        <f>IF(CLEAN_TABLE[[#This Row],[Farmer_Type]]="Smart",0,1)</f>
        <v>0</v>
      </c>
      <c r="P331" s="7">
        <f>IFERROR(CLEAN_TABLE[[#This Row],[Savings]]/CLEAN_TABLE[[#This Row],[Income]],0)</f>
        <v>0.41064823236917103</v>
      </c>
      <c r="Q331" s="7">
        <f>IF(CLEAN_TABLE[[#This Row],[Farmer_Type]]="Smart", 1 - (CLEAN_TABLE[[#This Row],[Irrigation]] / 70), 1 - (CLEAN_TABLE[[#This Row],[Irrigation]] / 150))</f>
        <v>0.76342857142857146</v>
      </c>
      <c r="R3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1572.6100000000001</v>
      </c>
    </row>
    <row r="332" spans="1:19">
      <c r="A332" s="6">
        <f>FARM_DATA[[#This Row],[Date]]</f>
        <v>45713</v>
      </c>
      <c r="B332" s="5" t="str">
        <f>FARM_DATA[[#This Row],[Farmer_Type]]</f>
        <v>Traditional</v>
      </c>
      <c r="C332" s="8">
        <f>FARM_DATA[[#This Row],[Income]]</f>
        <v>440.47</v>
      </c>
      <c r="D332" s="8">
        <f>FARM_DATA[[#This Row],[Irrigation]]</f>
        <v>67.819999999999993</v>
      </c>
      <c r="E332" s="8">
        <f>FARM_DATA[[#This Row],[Seeds]]</f>
        <v>27.29</v>
      </c>
      <c r="F332" s="8">
        <f>FARM_DATA[[#This Row],[Fertilizer]]</f>
        <v>41.96</v>
      </c>
      <c r="G332" s="8">
        <f>FARM_DATA[[#This Row],[Labor]]</f>
        <v>82.76</v>
      </c>
      <c r="H332" s="8">
        <f>FARM_DATA[[#This Row],[Household]]</f>
        <v>126.46</v>
      </c>
      <c r="I332" s="8">
        <f>FARM_DATA[[#This Row],[Medical]]</f>
        <v>17.04</v>
      </c>
      <c r="J332" s="8">
        <f>FARM_DATA[[#This Row],[Misc]]</f>
        <v>13.13</v>
      </c>
      <c r="K332" s="8">
        <f>FARM_DATA[[#This Row],[Total_Expenses]]</f>
        <v>376.45</v>
      </c>
      <c r="L332" s="30">
        <f>FARM_DATA[[#This Row],[Savings]]</f>
        <v>64.02</v>
      </c>
      <c r="M332" s="5" t="str">
        <f>TEXT(CLEAN_TABLE[[#This Row],[Date]], "mmm")</f>
        <v>Feb</v>
      </c>
      <c r="N332" s="5">
        <f>YEAR(CLEAN_TABLE[[#This Row],[Date]])</f>
        <v>2025</v>
      </c>
      <c r="O332" s="5">
        <f>IF(CLEAN_TABLE[[#This Row],[Farmer_Type]]="Smart",0,1)</f>
        <v>1</v>
      </c>
      <c r="P332" s="7">
        <f>IFERROR(CLEAN_TABLE[[#This Row],[Savings]]/CLEAN_TABLE[[#This Row],[Income]],0)</f>
        <v>0.14534474538561082</v>
      </c>
      <c r="Q332" s="7">
        <f>IF(CLEAN_TABLE[[#This Row],[Farmer_Type]]="Smart", 1 - (CLEAN_TABLE[[#This Row],[Irrigation]] / 70), 1 - (CLEAN_TABLE[[#This Row],[Irrigation]] / 150))</f>
        <v>0.54786666666666672</v>
      </c>
      <c r="R3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3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816.93000000000006</v>
      </c>
    </row>
    <row r="333" spans="1:19">
      <c r="A333" s="6">
        <f>FARM_DATA[[#This Row],[Date]]</f>
        <v>45714</v>
      </c>
      <c r="B333" s="5" t="str">
        <f>FARM_DATA[[#This Row],[Farmer_Type]]</f>
        <v>Smart</v>
      </c>
      <c r="C333" s="8">
        <f>FARM_DATA[[#This Row],[Income]]</f>
        <v>953.12</v>
      </c>
      <c r="D333" s="8">
        <f>FARM_DATA[[#This Row],[Irrigation]]</f>
        <v>19.510000000000002</v>
      </c>
      <c r="E333" s="8">
        <f>FARM_DATA[[#This Row],[Seeds]]</f>
        <v>41.84</v>
      </c>
      <c r="F333" s="8">
        <f>FARM_DATA[[#This Row],[Fertilizer]]</f>
        <v>125.58</v>
      </c>
      <c r="G333" s="8">
        <f>FARM_DATA[[#This Row],[Labor]]</f>
        <v>105.22</v>
      </c>
      <c r="H333" s="8">
        <f>FARM_DATA[[#This Row],[Household]]</f>
        <v>206.07</v>
      </c>
      <c r="I333" s="8">
        <f>FARM_DATA[[#This Row],[Medical]]</f>
        <v>16.079999999999998</v>
      </c>
      <c r="J333" s="8">
        <f>FARM_DATA[[#This Row],[Misc]]</f>
        <v>52.82</v>
      </c>
      <c r="K333" s="8">
        <f>FARM_DATA[[#This Row],[Total_Expenses]]</f>
        <v>567.12</v>
      </c>
      <c r="L333" s="30">
        <f>FARM_DATA[[#This Row],[Savings]]</f>
        <v>386.01</v>
      </c>
      <c r="M333" s="5" t="str">
        <f>TEXT(CLEAN_TABLE[[#This Row],[Date]], "mmm")</f>
        <v>Feb</v>
      </c>
      <c r="N333" s="5">
        <f>YEAR(CLEAN_TABLE[[#This Row],[Date]])</f>
        <v>2025</v>
      </c>
      <c r="O333" s="5">
        <f>IF(CLEAN_TABLE[[#This Row],[Farmer_Type]]="Smart",0,1)</f>
        <v>0</v>
      </c>
      <c r="P333" s="7">
        <f>IFERROR(CLEAN_TABLE[[#This Row],[Savings]]/CLEAN_TABLE[[#This Row],[Income]],0)</f>
        <v>0.40499622293100551</v>
      </c>
      <c r="Q333" s="7">
        <f>IF(CLEAN_TABLE[[#This Row],[Farmer_Type]]="Smart", 1 - (CLEAN_TABLE[[#This Row],[Irrigation]] / 70), 1 - (CLEAN_TABLE[[#This Row],[Irrigation]] / 150))</f>
        <v>0.72128571428571431</v>
      </c>
      <c r="R3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1520.2399999999998</v>
      </c>
    </row>
    <row r="334" spans="1:19">
      <c r="A334" s="6">
        <f>FARM_DATA[[#This Row],[Date]]</f>
        <v>45715</v>
      </c>
      <c r="B334" s="5" t="str">
        <f>FARM_DATA[[#This Row],[Farmer_Type]]</f>
        <v>Smart</v>
      </c>
      <c r="C334" s="8">
        <f>FARM_DATA[[#This Row],[Income]]</f>
        <v>731.61</v>
      </c>
      <c r="D334" s="8">
        <f>FARM_DATA[[#This Row],[Irrigation]]</f>
        <v>19.45</v>
      </c>
      <c r="E334" s="8">
        <f>FARM_DATA[[#This Row],[Seeds]]</f>
        <v>63.44</v>
      </c>
      <c r="F334" s="8">
        <f>FARM_DATA[[#This Row],[Fertilizer]]</f>
        <v>96.6</v>
      </c>
      <c r="G334" s="8">
        <f>FARM_DATA[[#This Row],[Labor]]</f>
        <v>71.489999999999995</v>
      </c>
      <c r="H334" s="8">
        <f>FARM_DATA[[#This Row],[Household]]</f>
        <v>138.66999999999999</v>
      </c>
      <c r="I334" s="8">
        <f>FARM_DATA[[#This Row],[Medical]]</f>
        <v>27.38</v>
      </c>
      <c r="J334" s="8">
        <f>FARM_DATA[[#This Row],[Misc]]</f>
        <v>25.77</v>
      </c>
      <c r="K334" s="8">
        <f>FARM_DATA[[#This Row],[Total_Expenses]]</f>
        <v>442.8</v>
      </c>
      <c r="L334" s="30">
        <f>FARM_DATA[[#This Row],[Savings]]</f>
        <v>288.82</v>
      </c>
      <c r="M334" s="5" t="str">
        <f>TEXT(CLEAN_TABLE[[#This Row],[Date]], "mmm")</f>
        <v>Feb</v>
      </c>
      <c r="N334" s="5">
        <f>YEAR(CLEAN_TABLE[[#This Row],[Date]])</f>
        <v>2025</v>
      </c>
      <c r="O334" s="5">
        <f>IF(CLEAN_TABLE[[#This Row],[Farmer_Type]]="Smart",0,1)</f>
        <v>0</v>
      </c>
      <c r="P334" s="7">
        <f>IFERROR(CLEAN_TABLE[[#This Row],[Savings]]/CLEAN_TABLE[[#This Row],[Income]],0)</f>
        <v>0.39477317149847596</v>
      </c>
      <c r="Q334" s="7">
        <f>IF(CLEAN_TABLE[[#This Row],[Farmer_Type]]="Smart", 1 - (CLEAN_TABLE[[#This Row],[Irrigation]] / 70), 1 - (CLEAN_TABLE[[#This Row],[Irrigation]] / 150))</f>
        <v>0.7221428571428572</v>
      </c>
      <c r="R3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1174.4100000000001</v>
      </c>
    </row>
    <row r="335" spans="1:19">
      <c r="A335" s="6">
        <f>FARM_DATA[[#This Row],[Date]]</f>
        <v>45716</v>
      </c>
      <c r="B335" s="5" t="str">
        <f>FARM_DATA[[#This Row],[Farmer_Type]]</f>
        <v>Traditional</v>
      </c>
      <c r="C335" s="8">
        <f>FARM_DATA[[#This Row],[Income]]</f>
        <v>373.16</v>
      </c>
      <c r="D335" s="8">
        <f>FARM_DATA[[#This Row],[Irrigation]]</f>
        <v>56.33</v>
      </c>
      <c r="E335" s="8">
        <f>FARM_DATA[[#This Row],[Seeds]]</f>
        <v>52.72</v>
      </c>
      <c r="F335" s="8">
        <f>FARM_DATA[[#This Row],[Fertilizer]]</f>
        <v>30.35</v>
      </c>
      <c r="G335" s="8">
        <f>FARM_DATA[[#This Row],[Labor]]</f>
        <v>123.81</v>
      </c>
      <c r="H335" s="8">
        <f>FARM_DATA[[#This Row],[Household]]</f>
        <v>168.77</v>
      </c>
      <c r="I335" s="8">
        <f>FARM_DATA[[#This Row],[Medical]]</f>
        <v>14.43</v>
      </c>
      <c r="J335" s="8">
        <f>FARM_DATA[[#This Row],[Misc]]</f>
        <v>36.979999999999997</v>
      </c>
      <c r="K335" s="8">
        <f>FARM_DATA[[#This Row],[Total_Expenses]]</f>
        <v>483.39</v>
      </c>
      <c r="L335" s="30">
        <f>FARM_DATA[[#This Row],[Savings]]</f>
        <v>-110.23</v>
      </c>
      <c r="M335" s="5" t="str">
        <f>TEXT(CLEAN_TABLE[[#This Row],[Date]], "mmm")</f>
        <v>Feb</v>
      </c>
      <c r="N335" s="5">
        <f>YEAR(CLEAN_TABLE[[#This Row],[Date]])</f>
        <v>2025</v>
      </c>
      <c r="O335" s="5">
        <f>IF(CLEAN_TABLE[[#This Row],[Farmer_Type]]="Smart",0,1)</f>
        <v>1</v>
      </c>
      <c r="P335" s="7">
        <f>IFERROR(CLEAN_TABLE[[#This Row],[Savings]]/CLEAN_TABLE[[#This Row],[Income]],0)</f>
        <v>-0.29539607674991958</v>
      </c>
      <c r="Q335" s="7">
        <f>IF(CLEAN_TABLE[[#This Row],[Farmer_Type]]="Smart", 1 - (CLEAN_TABLE[[#This Row],[Irrigation]] / 70), 1 - (CLEAN_TABLE[[#This Row],[Irrigation]] / 150))</f>
        <v>0.62446666666666673</v>
      </c>
      <c r="R3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856.55000000000007</v>
      </c>
    </row>
    <row r="336" spans="1:19">
      <c r="A336" s="6">
        <f>FARM_DATA[[#This Row],[Date]]</f>
        <v>45717</v>
      </c>
      <c r="B336" s="5" t="str">
        <f>FARM_DATA[[#This Row],[Farmer_Type]]</f>
        <v>Smart</v>
      </c>
      <c r="C336" s="8">
        <f>FARM_DATA[[#This Row],[Income]]</f>
        <v>1002.09</v>
      </c>
      <c r="D336" s="8">
        <f>FARM_DATA[[#This Row],[Irrigation]]</f>
        <v>12.31</v>
      </c>
      <c r="E336" s="8">
        <f>FARM_DATA[[#This Row],[Seeds]]</f>
        <v>39.83</v>
      </c>
      <c r="F336" s="8">
        <f>FARM_DATA[[#This Row],[Fertilizer]]</f>
        <v>21.12</v>
      </c>
      <c r="G336" s="8">
        <f>FARM_DATA[[#This Row],[Labor]]</f>
        <v>101.99</v>
      </c>
      <c r="H336" s="8">
        <f>FARM_DATA[[#This Row],[Household]]</f>
        <v>115.23</v>
      </c>
      <c r="I336" s="8">
        <f>FARM_DATA[[#This Row],[Medical]]</f>
        <v>22.86</v>
      </c>
      <c r="J336" s="8">
        <f>FARM_DATA[[#This Row],[Misc]]</f>
        <v>36.049999999999997</v>
      </c>
      <c r="K336" s="8">
        <f>FARM_DATA[[#This Row],[Total_Expenses]]</f>
        <v>349.39</v>
      </c>
      <c r="L336" s="30">
        <f>FARM_DATA[[#This Row],[Savings]]</f>
        <v>652.70000000000005</v>
      </c>
      <c r="M336" s="5" t="str">
        <f>TEXT(CLEAN_TABLE[[#This Row],[Date]], "mmm")</f>
        <v>Mar</v>
      </c>
      <c r="N336" s="5">
        <f>YEAR(CLEAN_TABLE[[#This Row],[Date]])</f>
        <v>2025</v>
      </c>
      <c r="O336" s="5">
        <f>IF(CLEAN_TABLE[[#This Row],[Farmer_Type]]="Smart",0,1)</f>
        <v>0</v>
      </c>
      <c r="P336" s="7">
        <f>IFERROR(CLEAN_TABLE[[#This Row],[Savings]]/CLEAN_TABLE[[#This Row],[Income]],0)</f>
        <v>0.65133870211258471</v>
      </c>
      <c r="Q336" s="7">
        <f>IF(CLEAN_TABLE[[#This Row],[Farmer_Type]]="Smart", 1 - (CLEAN_TABLE[[#This Row],[Irrigation]] / 70), 1 - (CLEAN_TABLE[[#This Row],[Irrigation]] / 150))</f>
        <v>0.82414285714285718</v>
      </c>
      <c r="R3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1351.4799999999998</v>
      </c>
    </row>
    <row r="337" spans="1:19">
      <c r="A337" s="6">
        <f>FARM_DATA[[#This Row],[Date]]</f>
        <v>45718</v>
      </c>
      <c r="B337" s="5" t="str">
        <f>FARM_DATA[[#This Row],[Farmer_Type]]</f>
        <v>Smart</v>
      </c>
      <c r="C337" s="8">
        <f>FARM_DATA[[#This Row],[Income]]</f>
        <v>1085.83</v>
      </c>
      <c r="D337" s="8">
        <f>FARM_DATA[[#This Row],[Irrigation]]</f>
        <v>13.49</v>
      </c>
      <c r="E337" s="8">
        <f>FARM_DATA[[#This Row],[Seeds]]</f>
        <v>53.41</v>
      </c>
      <c r="F337" s="8">
        <f>FARM_DATA[[#This Row],[Fertilizer]]</f>
        <v>101.96</v>
      </c>
      <c r="G337" s="8">
        <f>FARM_DATA[[#This Row],[Labor]]</f>
        <v>101.7</v>
      </c>
      <c r="H337" s="8">
        <f>FARM_DATA[[#This Row],[Household]]</f>
        <v>181.07</v>
      </c>
      <c r="I337" s="8">
        <f>FARM_DATA[[#This Row],[Medical]]</f>
        <v>26.22</v>
      </c>
      <c r="J337" s="8">
        <f>FARM_DATA[[#This Row],[Misc]]</f>
        <v>16.97</v>
      </c>
      <c r="K337" s="8">
        <f>FARM_DATA[[#This Row],[Total_Expenses]]</f>
        <v>494.81</v>
      </c>
      <c r="L337" s="30">
        <f>FARM_DATA[[#This Row],[Savings]]</f>
        <v>591.02</v>
      </c>
      <c r="M337" s="5" t="str">
        <f>TEXT(CLEAN_TABLE[[#This Row],[Date]], "mmm")</f>
        <v>Mar</v>
      </c>
      <c r="N337" s="5">
        <f>YEAR(CLEAN_TABLE[[#This Row],[Date]])</f>
        <v>2025</v>
      </c>
      <c r="O337" s="5">
        <f>IF(CLEAN_TABLE[[#This Row],[Farmer_Type]]="Smart",0,1)</f>
        <v>0</v>
      </c>
      <c r="P337" s="7">
        <f>IFERROR(CLEAN_TABLE[[#This Row],[Savings]]/CLEAN_TABLE[[#This Row],[Income]],0)</f>
        <v>0.54430251512667727</v>
      </c>
      <c r="Q337" s="7">
        <f>IF(CLEAN_TABLE[[#This Row],[Farmer_Type]]="Smart", 1 - (CLEAN_TABLE[[#This Row],[Irrigation]] / 70), 1 - (CLEAN_TABLE[[#This Row],[Irrigation]] / 150))</f>
        <v>0.80728571428571427</v>
      </c>
      <c r="R3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1580.65</v>
      </c>
    </row>
    <row r="338" spans="1:19">
      <c r="A338" s="6">
        <f>FARM_DATA[[#This Row],[Date]]</f>
        <v>45719</v>
      </c>
      <c r="B338" s="5" t="str">
        <f>FARM_DATA[[#This Row],[Farmer_Type]]</f>
        <v>Traditional</v>
      </c>
      <c r="C338" s="8">
        <f>FARM_DATA[[#This Row],[Income]]</f>
        <v>387.84</v>
      </c>
      <c r="D338" s="8">
        <f>FARM_DATA[[#This Row],[Irrigation]]</f>
        <v>76.12</v>
      </c>
      <c r="E338" s="8">
        <f>FARM_DATA[[#This Row],[Seeds]]</f>
        <v>24.75</v>
      </c>
      <c r="F338" s="8">
        <f>FARM_DATA[[#This Row],[Fertilizer]]</f>
        <v>50.12</v>
      </c>
      <c r="G338" s="8">
        <f>FARM_DATA[[#This Row],[Labor]]</f>
        <v>109.02</v>
      </c>
      <c r="H338" s="8">
        <f>FARM_DATA[[#This Row],[Household]]</f>
        <v>145.97</v>
      </c>
      <c r="I338" s="8">
        <f>FARM_DATA[[#This Row],[Medical]]</f>
        <v>22.67</v>
      </c>
      <c r="J338" s="8">
        <f>FARM_DATA[[#This Row],[Misc]]</f>
        <v>47.18</v>
      </c>
      <c r="K338" s="8">
        <f>FARM_DATA[[#This Row],[Total_Expenses]]</f>
        <v>475.82</v>
      </c>
      <c r="L338" s="30">
        <f>FARM_DATA[[#This Row],[Savings]]</f>
        <v>-87.98</v>
      </c>
      <c r="M338" s="5" t="str">
        <f>TEXT(CLEAN_TABLE[[#This Row],[Date]], "mmm")</f>
        <v>Mar</v>
      </c>
      <c r="N338" s="5">
        <f>YEAR(CLEAN_TABLE[[#This Row],[Date]])</f>
        <v>2025</v>
      </c>
      <c r="O338" s="5">
        <f>IF(CLEAN_TABLE[[#This Row],[Farmer_Type]]="Smart",0,1)</f>
        <v>1</v>
      </c>
      <c r="P338" s="7">
        <f>IFERROR(CLEAN_TABLE[[#This Row],[Savings]]/CLEAN_TABLE[[#This Row],[Income]],0)</f>
        <v>-0.22684612211221125</v>
      </c>
      <c r="Q338" s="7">
        <f>IF(CLEAN_TABLE[[#This Row],[Farmer_Type]]="Smart", 1 - (CLEAN_TABLE[[#This Row],[Irrigation]] / 70), 1 - (CLEAN_TABLE[[#This Row],[Irrigation]] / 150))</f>
        <v>0.49253333333333327</v>
      </c>
      <c r="R3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863.66999999999985</v>
      </c>
    </row>
    <row r="339" spans="1:19">
      <c r="A339" s="6">
        <f>FARM_DATA[[#This Row],[Date]]</f>
        <v>45720</v>
      </c>
      <c r="B339" s="5" t="str">
        <f>FARM_DATA[[#This Row],[Farmer_Type]]</f>
        <v>Traditional</v>
      </c>
      <c r="C339" s="8">
        <f>FARM_DATA[[#This Row],[Income]]</f>
        <v>404.09</v>
      </c>
      <c r="D339" s="8">
        <f>FARM_DATA[[#This Row],[Irrigation]]</f>
        <v>56.88</v>
      </c>
      <c r="E339" s="8">
        <f>FARM_DATA[[#This Row],[Seeds]]</f>
        <v>49.33</v>
      </c>
      <c r="F339" s="8">
        <f>FARM_DATA[[#This Row],[Fertilizer]]</f>
        <v>81.58</v>
      </c>
      <c r="G339" s="8">
        <f>FARM_DATA[[#This Row],[Labor]]</f>
        <v>119.67</v>
      </c>
      <c r="H339" s="8">
        <f>FARM_DATA[[#This Row],[Household]]</f>
        <v>182.73</v>
      </c>
      <c r="I339" s="8">
        <f>FARM_DATA[[#This Row],[Medical]]</f>
        <v>36.1</v>
      </c>
      <c r="J339" s="8">
        <f>FARM_DATA[[#This Row],[Misc]]</f>
        <v>42.28</v>
      </c>
      <c r="K339" s="8">
        <f>FARM_DATA[[#This Row],[Total_Expenses]]</f>
        <v>568.57000000000005</v>
      </c>
      <c r="L339" s="30">
        <f>FARM_DATA[[#This Row],[Savings]]</f>
        <v>-164.48</v>
      </c>
      <c r="M339" s="5" t="str">
        <f>TEXT(CLEAN_TABLE[[#This Row],[Date]], "mmm")</f>
        <v>Mar</v>
      </c>
      <c r="N339" s="5">
        <f>YEAR(CLEAN_TABLE[[#This Row],[Date]])</f>
        <v>2025</v>
      </c>
      <c r="O339" s="5">
        <f>IF(CLEAN_TABLE[[#This Row],[Farmer_Type]]="Smart",0,1)</f>
        <v>1</v>
      </c>
      <c r="P339" s="7">
        <f>IFERROR(CLEAN_TABLE[[#This Row],[Savings]]/CLEAN_TABLE[[#This Row],[Income]],0)</f>
        <v>-0.40703803608107103</v>
      </c>
      <c r="Q339" s="7">
        <f>IF(CLEAN_TABLE[[#This Row],[Farmer_Type]]="Smart", 1 - (CLEAN_TABLE[[#This Row],[Irrigation]] / 70), 1 - (CLEAN_TABLE[[#This Row],[Irrigation]] / 150))</f>
        <v>0.62080000000000002</v>
      </c>
      <c r="R3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972.66</v>
      </c>
    </row>
    <row r="340" spans="1:19">
      <c r="A340" s="6">
        <f>FARM_DATA[[#This Row],[Date]]</f>
        <v>45721</v>
      </c>
      <c r="B340" s="5" t="str">
        <f>FARM_DATA[[#This Row],[Farmer_Type]]</f>
        <v>Traditional</v>
      </c>
      <c r="C340" s="8">
        <f>FARM_DATA[[#This Row],[Income]]</f>
        <v>362.47</v>
      </c>
      <c r="D340" s="8">
        <f>FARM_DATA[[#This Row],[Irrigation]]</f>
        <v>80.45</v>
      </c>
      <c r="E340" s="8">
        <f>FARM_DATA[[#This Row],[Seeds]]</f>
        <v>42.17</v>
      </c>
      <c r="F340" s="8">
        <f>FARM_DATA[[#This Row],[Fertilizer]]</f>
        <v>55.48</v>
      </c>
      <c r="G340" s="8">
        <f>FARM_DATA[[#This Row],[Labor]]</f>
        <v>101.21</v>
      </c>
      <c r="H340" s="8">
        <f>FARM_DATA[[#This Row],[Household]]</f>
        <v>196.9</v>
      </c>
      <c r="I340" s="8">
        <f>FARM_DATA[[#This Row],[Medical]]</f>
        <v>13.45</v>
      </c>
      <c r="J340" s="8">
        <f>FARM_DATA[[#This Row],[Misc]]</f>
        <v>48.39</v>
      </c>
      <c r="K340" s="8">
        <f>FARM_DATA[[#This Row],[Total_Expenses]]</f>
        <v>538.05999999999995</v>
      </c>
      <c r="L340" s="30">
        <f>FARM_DATA[[#This Row],[Savings]]</f>
        <v>-175.59</v>
      </c>
      <c r="M340" s="5" t="str">
        <f>TEXT(CLEAN_TABLE[[#This Row],[Date]], "mmm")</f>
        <v>Mar</v>
      </c>
      <c r="N340" s="5">
        <f>YEAR(CLEAN_TABLE[[#This Row],[Date]])</f>
        <v>2025</v>
      </c>
      <c r="O340" s="5">
        <f>IF(CLEAN_TABLE[[#This Row],[Farmer_Type]]="Smart",0,1)</f>
        <v>1</v>
      </c>
      <c r="P340" s="7">
        <f>IFERROR(CLEAN_TABLE[[#This Row],[Savings]]/CLEAN_TABLE[[#This Row],[Income]],0)</f>
        <v>-0.48442629734874609</v>
      </c>
      <c r="Q340" s="7">
        <f>IF(CLEAN_TABLE[[#This Row],[Farmer_Type]]="Smart", 1 - (CLEAN_TABLE[[#This Row],[Irrigation]] / 70), 1 - (CLEAN_TABLE[[#This Row],[Irrigation]] / 150))</f>
        <v>0.46366666666666667</v>
      </c>
      <c r="R3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900.5200000000001</v>
      </c>
    </row>
    <row r="341" spans="1:19">
      <c r="A341" s="6">
        <f>FARM_DATA[[#This Row],[Date]]</f>
        <v>45722</v>
      </c>
      <c r="B341" s="5" t="str">
        <f>FARM_DATA[[#This Row],[Farmer_Type]]</f>
        <v>Smart</v>
      </c>
      <c r="C341" s="8">
        <f>FARM_DATA[[#This Row],[Income]]</f>
        <v>1049.97</v>
      </c>
      <c r="D341" s="8">
        <f>FARM_DATA[[#This Row],[Irrigation]]</f>
        <v>8</v>
      </c>
      <c r="E341" s="8">
        <f>FARM_DATA[[#This Row],[Seeds]]</f>
        <v>67.349999999999994</v>
      </c>
      <c r="F341" s="8">
        <f>FARM_DATA[[#This Row],[Fertilizer]]</f>
        <v>17</v>
      </c>
      <c r="G341" s="8">
        <f>FARM_DATA[[#This Row],[Labor]]</f>
        <v>107.51</v>
      </c>
      <c r="H341" s="8">
        <f>FARM_DATA[[#This Row],[Household]]</f>
        <v>200.98</v>
      </c>
      <c r="I341" s="8">
        <f>FARM_DATA[[#This Row],[Medical]]</f>
        <v>16.670000000000002</v>
      </c>
      <c r="J341" s="8">
        <f>FARM_DATA[[#This Row],[Misc]]</f>
        <v>41.85</v>
      </c>
      <c r="K341" s="8">
        <f>FARM_DATA[[#This Row],[Total_Expenses]]</f>
        <v>459.37</v>
      </c>
      <c r="L341" s="30">
        <f>FARM_DATA[[#This Row],[Savings]]</f>
        <v>590.6</v>
      </c>
      <c r="M341" s="5" t="str">
        <f>TEXT(CLEAN_TABLE[[#This Row],[Date]], "mmm")</f>
        <v>Mar</v>
      </c>
      <c r="N341" s="5">
        <f>YEAR(CLEAN_TABLE[[#This Row],[Date]])</f>
        <v>2025</v>
      </c>
      <c r="O341" s="5">
        <f>IF(CLEAN_TABLE[[#This Row],[Farmer_Type]]="Smart",0,1)</f>
        <v>0</v>
      </c>
      <c r="P341" s="7">
        <f>IFERROR(CLEAN_TABLE[[#This Row],[Savings]]/CLEAN_TABLE[[#This Row],[Income]],0)</f>
        <v>0.56249226168366717</v>
      </c>
      <c r="Q341" s="7">
        <f>IF(CLEAN_TABLE[[#This Row],[Farmer_Type]]="Smart", 1 - (CLEAN_TABLE[[#This Row],[Irrigation]] / 70), 1 - (CLEAN_TABLE[[#This Row],[Irrigation]] / 150))</f>
        <v>0.88571428571428568</v>
      </c>
      <c r="R3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1509.33</v>
      </c>
    </row>
    <row r="342" spans="1:19">
      <c r="A342" s="6">
        <f>FARM_DATA[[#This Row],[Date]]</f>
        <v>45723</v>
      </c>
      <c r="B342" s="5" t="str">
        <f>FARM_DATA[[#This Row],[Farmer_Type]]</f>
        <v>Smart</v>
      </c>
      <c r="C342" s="8">
        <f>FARM_DATA[[#This Row],[Income]]</f>
        <v>1340.83</v>
      </c>
      <c r="D342" s="8">
        <f>FARM_DATA[[#This Row],[Irrigation]]</f>
        <v>12.47</v>
      </c>
      <c r="E342" s="8">
        <f>FARM_DATA[[#This Row],[Seeds]]</f>
        <v>38.82</v>
      </c>
      <c r="F342" s="8">
        <f>FARM_DATA[[#This Row],[Fertilizer]]</f>
        <v>124.45</v>
      </c>
      <c r="G342" s="8">
        <f>FARM_DATA[[#This Row],[Labor]]</f>
        <v>134.25</v>
      </c>
      <c r="H342" s="8">
        <f>FARM_DATA[[#This Row],[Household]]</f>
        <v>170.13</v>
      </c>
      <c r="I342" s="8">
        <f>FARM_DATA[[#This Row],[Medical]]</f>
        <v>31.1</v>
      </c>
      <c r="J342" s="8">
        <f>FARM_DATA[[#This Row],[Misc]]</f>
        <v>60.12</v>
      </c>
      <c r="K342" s="8">
        <f>FARM_DATA[[#This Row],[Total_Expenses]]</f>
        <v>571.35</v>
      </c>
      <c r="L342" s="30">
        <f>FARM_DATA[[#This Row],[Savings]]</f>
        <v>769.48</v>
      </c>
      <c r="M342" s="5" t="str">
        <f>TEXT(CLEAN_TABLE[[#This Row],[Date]], "mmm")</f>
        <v>Mar</v>
      </c>
      <c r="N342" s="5">
        <f>YEAR(CLEAN_TABLE[[#This Row],[Date]])</f>
        <v>2025</v>
      </c>
      <c r="O342" s="5">
        <f>IF(CLEAN_TABLE[[#This Row],[Farmer_Type]]="Smart",0,1)</f>
        <v>0</v>
      </c>
      <c r="P342" s="7">
        <f>IFERROR(CLEAN_TABLE[[#This Row],[Savings]]/CLEAN_TABLE[[#This Row],[Income]],0)</f>
        <v>0.57388334091570148</v>
      </c>
      <c r="Q342" s="7">
        <f>IF(CLEAN_TABLE[[#This Row],[Farmer_Type]]="Smart", 1 - (CLEAN_TABLE[[#This Row],[Irrigation]] / 70), 1 - (CLEAN_TABLE[[#This Row],[Irrigation]] / 150))</f>
        <v>0.82185714285714284</v>
      </c>
      <c r="R3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1912.1699999999996</v>
      </c>
    </row>
    <row r="343" spans="1:19">
      <c r="A343" s="6">
        <f>FARM_DATA[[#This Row],[Date]]</f>
        <v>45724</v>
      </c>
      <c r="B343" s="5" t="str">
        <f>FARM_DATA[[#This Row],[Farmer_Type]]</f>
        <v>Traditional</v>
      </c>
      <c r="C343" s="8">
        <f>FARM_DATA[[#This Row],[Income]]</f>
        <v>312.88</v>
      </c>
      <c r="D343" s="8">
        <f>FARM_DATA[[#This Row],[Irrigation]]</f>
        <v>65.150000000000006</v>
      </c>
      <c r="E343" s="8">
        <f>FARM_DATA[[#This Row],[Seeds]]</f>
        <v>58.46</v>
      </c>
      <c r="F343" s="8">
        <f>FARM_DATA[[#This Row],[Fertilizer]]</f>
        <v>88.7</v>
      </c>
      <c r="G343" s="8">
        <f>FARM_DATA[[#This Row],[Labor]]</f>
        <v>124.07</v>
      </c>
      <c r="H343" s="8">
        <f>FARM_DATA[[#This Row],[Household]]</f>
        <v>123.61</v>
      </c>
      <c r="I343" s="8">
        <f>FARM_DATA[[#This Row],[Medical]]</f>
        <v>35.9</v>
      </c>
      <c r="J343" s="8">
        <f>FARM_DATA[[#This Row],[Misc]]</f>
        <v>23.63</v>
      </c>
      <c r="K343" s="8">
        <f>FARM_DATA[[#This Row],[Total_Expenses]]</f>
        <v>519.51</v>
      </c>
      <c r="L343" s="30">
        <f>FARM_DATA[[#This Row],[Savings]]</f>
        <v>-206.64</v>
      </c>
      <c r="M343" s="5" t="str">
        <f>TEXT(CLEAN_TABLE[[#This Row],[Date]], "mmm")</f>
        <v>Mar</v>
      </c>
      <c r="N343" s="5">
        <f>YEAR(CLEAN_TABLE[[#This Row],[Date]])</f>
        <v>2025</v>
      </c>
      <c r="O343" s="5">
        <f>IF(CLEAN_TABLE[[#This Row],[Farmer_Type]]="Smart",0,1)</f>
        <v>1</v>
      </c>
      <c r="P343" s="7">
        <f>IFERROR(CLEAN_TABLE[[#This Row],[Savings]]/CLEAN_TABLE[[#This Row],[Income]],0)</f>
        <v>-0.66044489900281256</v>
      </c>
      <c r="Q343" s="7">
        <f>IF(CLEAN_TABLE[[#This Row],[Farmer_Type]]="Smart", 1 - (CLEAN_TABLE[[#This Row],[Irrigation]] / 70), 1 - (CLEAN_TABLE[[#This Row],[Irrigation]] / 150))</f>
        <v>0.56566666666666665</v>
      </c>
      <c r="R3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832.4</v>
      </c>
    </row>
    <row r="344" spans="1:19">
      <c r="A344" s="6">
        <f>FARM_DATA[[#This Row],[Date]]</f>
        <v>45725</v>
      </c>
      <c r="B344" s="5" t="str">
        <f>FARM_DATA[[#This Row],[Farmer_Type]]</f>
        <v>Traditional</v>
      </c>
      <c r="C344" s="8">
        <f>FARM_DATA[[#This Row],[Income]]</f>
        <v>333.24</v>
      </c>
      <c r="D344" s="8">
        <f>FARM_DATA[[#This Row],[Irrigation]]</f>
        <v>73.42</v>
      </c>
      <c r="E344" s="8">
        <f>FARM_DATA[[#This Row],[Seeds]]</f>
        <v>63.31</v>
      </c>
      <c r="F344" s="8">
        <f>FARM_DATA[[#This Row],[Fertilizer]]</f>
        <v>72.08</v>
      </c>
      <c r="G344" s="8">
        <f>FARM_DATA[[#This Row],[Labor]]</f>
        <v>120.37</v>
      </c>
      <c r="H344" s="8">
        <f>FARM_DATA[[#This Row],[Household]]</f>
        <v>163.9</v>
      </c>
      <c r="I344" s="8">
        <f>FARM_DATA[[#This Row],[Medical]]</f>
        <v>20.350000000000001</v>
      </c>
      <c r="J344" s="8">
        <f>FARM_DATA[[#This Row],[Misc]]</f>
        <v>36.700000000000003</v>
      </c>
      <c r="K344" s="8">
        <f>FARM_DATA[[#This Row],[Total_Expenses]]</f>
        <v>550.13</v>
      </c>
      <c r="L344" s="30">
        <f>FARM_DATA[[#This Row],[Savings]]</f>
        <v>-216.89</v>
      </c>
      <c r="M344" s="5" t="str">
        <f>TEXT(CLEAN_TABLE[[#This Row],[Date]], "mmm")</f>
        <v>Mar</v>
      </c>
      <c r="N344" s="5">
        <f>YEAR(CLEAN_TABLE[[#This Row],[Date]])</f>
        <v>2025</v>
      </c>
      <c r="O344" s="5">
        <f>IF(CLEAN_TABLE[[#This Row],[Farmer_Type]]="Smart",0,1)</f>
        <v>1</v>
      </c>
      <c r="P344" s="7">
        <f>IFERROR(CLEAN_TABLE[[#This Row],[Savings]]/CLEAN_TABLE[[#This Row],[Income]],0)</f>
        <v>-0.6508522386268154</v>
      </c>
      <c r="Q344" s="7">
        <f>IF(CLEAN_TABLE[[#This Row],[Farmer_Type]]="Smart", 1 - (CLEAN_TABLE[[#This Row],[Irrigation]] / 70), 1 - (CLEAN_TABLE[[#This Row],[Irrigation]] / 150))</f>
        <v>0.51053333333333328</v>
      </c>
      <c r="R3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883.37000000000012</v>
      </c>
    </row>
    <row r="345" spans="1:19">
      <c r="A345" s="6">
        <f>FARM_DATA[[#This Row],[Date]]</f>
        <v>45726</v>
      </c>
      <c r="B345" s="5" t="str">
        <f>FARM_DATA[[#This Row],[Farmer_Type]]</f>
        <v>Traditional</v>
      </c>
      <c r="C345" s="8">
        <f>FARM_DATA[[#This Row],[Income]]</f>
        <v>223.52</v>
      </c>
      <c r="D345" s="8">
        <f>FARM_DATA[[#This Row],[Irrigation]]</f>
        <v>67.03</v>
      </c>
      <c r="E345" s="8">
        <f>FARM_DATA[[#This Row],[Seeds]]</f>
        <v>43.62</v>
      </c>
      <c r="F345" s="8">
        <f>FARM_DATA[[#This Row],[Fertilizer]]</f>
        <v>31.98</v>
      </c>
      <c r="G345" s="8">
        <f>FARM_DATA[[#This Row],[Labor]]</f>
        <v>119.66</v>
      </c>
      <c r="H345" s="8">
        <f>FARM_DATA[[#This Row],[Household]]</f>
        <v>143.87</v>
      </c>
      <c r="I345" s="8">
        <f>FARM_DATA[[#This Row],[Medical]]</f>
        <v>34.04</v>
      </c>
      <c r="J345" s="8">
        <f>FARM_DATA[[#This Row],[Misc]]</f>
        <v>48.88</v>
      </c>
      <c r="K345" s="8">
        <f>FARM_DATA[[#This Row],[Total_Expenses]]</f>
        <v>489.08</v>
      </c>
      <c r="L345" s="30">
        <f>FARM_DATA[[#This Row],[Savings]]</f>
        <v>-265.56</v>
      </c>
      <c r="M345" s="5" t="str">
        <f>TEXT(CLEAN_TABLE[[#This Row],[Date]], "mmm")</f>
        <v>Mar</v>
      </c>
      <c r="N345" s="5">
        <f>YEAR(CLEAN_TABLE[[#This Row],[Date]])</f>
        <v>2025</v>
      </c>
      <c r="O345" s="5">
        <f>IF(CLEAN_TABLE[[#This Row],[Farmer_Type]]="Smart",0,1)</f>
        <v>1</v>
      </c>
      <c r="P345" s="7">
        <f>IFERROR(CLEAN_TABLE[[#This Row],[Savings]]/CLEAN_TABLE[[#This Row],[Income]],0)</f>
        <v>-1.1880816034359341</v>
      </c>
      <c r="Q345" s="7">
        <f>IF(CLEAN_TABLE[[#This Row],[Farmer_Type]]="Smart", 1 - (CLEAN_TABLE[[#This Row],[Irrigation]] / 70), 1 - (CLEAN_TABLE[[#This Row],[Irrigation]] / 150))</f>
        <v>0.55313333333333325</v>
      </c>
      <c r="R3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712.6</v>
      </c>
    </row>
    <row r="346" spans="1:19">
      <c r="A346" s="6">
        <f>FARM_DATA[[#This Row],[Date]]</f>
        <v>45727</v>
      </c>
      <c r="B346" s="5" t="str">
        <f>FARM_DATA[[#This Row],[Farmer_Type]]</f>
        <v>Smart</v>
      </c>
      <c r="C346" s="8">
        <f>FARM_DATA[[#This Row],[Income]]</f>
        <v>856.84</v>
      </c>
      <c r="D346" s="8">
        <f>FARM_DATA[[#This Row],[Irrigation]]</f>
        <v>14.25</v>
      </c>
      <c r="E346" s="8">
        <f>FARM_DATA[[#This Row],[Seeds]]</f>
        <v>58.52</v>
      </c>
      <c r="F346" s="8">
        <f>FARM_DATA[[#This Row],[Fertilizer]]</f>
        <v>66.45</v>
      </c>
      <c r="G346" s="8">
        <f>FARM_DATA[[#This Row],[Labor]]</f>
        <v>98.9</v>
      </c>
      <c r="H346" s="8">
        <f>FARM_DATA[[#This Row],[Household]]</f>
        <v>143.46</v>
      </c>
      <c r="I346" s="8">
        <f>FARM_DATA[[#This Row],[Medical]]</f>
        <v>11.82</v>
      </c>
      <c r="J346" s="8">
        <f>FARM_DATA[[#This Row],[Misc]]</f>
        <v>49.34</v>
      </c>
      <c r="K346" s="8">
        <f>FARM_DATA[[#This Row],[Total_Expenses]]</f>
        <v>442.74</v>
      </c>
      <c r="L346" s="30">
        <f>FARM_DATA[[#This Row],[Savings]]</f>
        <v>414.1</v>
      </c>
      <c r="M346" s="5" t="str">
        <f>TEXT(CLEAN_TABLE[[#This Row],[Date]], "mmm")</f>
        <v>Mar</v>
      </c>
      <c r="N346" s="5">
        <f>YEAR(CLEAN_TABLE[[#This Row],[Date]])</f>
        <v>2025</v>
      </c>
      <c r="O346" s="5">
        <f>IF(CLEAN_TABLE[[#This Row],[Farmer_Type]]="Smart",0,1)</f>
        <v>0</v>
      </c>
      <c r="P346" s="7">
        <f>IFERROR(CLEAN_TABLE[[#This Row],[Savings]]/CLEAN_TABLE[[#This Row],[Income]],0)</f>
        <v>0.48328742822463938</v>
      </c>
      <c r="Q346" s="7">
        <f>IF(CLEAN_TABLE[[#This Row],[Farmer_Type]]="Smart", 1 - (CLEAN_TABLE[[#This Row],[Irrigation]] / 70), 1 - (CLEAN_TABLE[[#This Row],[Irrigation]] / 150))</f>
        <v>0.79642857142857149</v>
      </c>
      <c r="R3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1299.58</v>
      </c>
    </row>
    <row r="347" spans="1:19">
      <c r="A347" s="6">
        <f>FARM_DATA[[#This Row],[Date]]</f>
        <v>45728</v>
      </c>
      <c r="B347" s="5" t="str">
        <f>FARM_DATA[[#This Row],[Farmer_Type]]</f>
        <v>Smart</v>
      </c>
      <c r="C347" s="8">
        <f>FARM_DATA[[#This Row],[Income]]</f>
        <v>1075.9100000000001</v>
      </c>
      <c r="D347" s="8">
        <f>FARM_DATA[[#This Row],[Irrigation]]</f>
        <v>10.98</v>
      </c>
      <c r="E347" s="8">
        <f>FARM_DATA[[#This Row],[Seeds]]</f>
        <v>77.91</v>
      </c>
      <c r="F347" s="8">
        <f>FARM_DATA[[#This Row],[Fertilizer]]</f>
        <v>61.05</v>
      </c>
      <c r="G347" s="8">
        <f>FARM_DATA[[#This Row],[Labor]]</f>
        <v>100.06</v>
      </c>
      <c r="H347" s="8">
        <f>FARM_DATA[[#This Row],[Household]]</f>
        <v>198.71</v>
      </c>
      <c r="I347" s="8">
        <f>FARM_DATA[[#This Row],[Medical]]</f>
        <v>21.7</v>
      </c>
      <c r="J347" s="8">
        <f>FARM_DATA[[#This Row],[Misc]]</f>
        <v>46.82</v>
      </c>
      <c r="K347" s="8">
        <f>FARM_DATA[[#This Row],[Total_Expenses]]</f>
        <v>517.23</v>
      </c>
      <c r="L347" s="30">
        <f>FARM_DATA[[#This Row],[Savings]]</f>
        <v>558.66999999999996</v>
      </c>
      <c r="M347" s="5" t="str">
        <f>TEXT(CLEAN_TABLE[[#This Row],[Date]], "mmm")</f>
        <v>Mar</v>
      </c>
      <c r="N347" s="5">
        <f>YEAR(CLEAN_TABLE[[#This Row],[Date]])</f>
        <v>2025</v>
      </c>
      <c r="O347" s="5">
        <f>IF(CLEAN_TABLE[[#This Row],[Farmer_Type]]="Smart",0,1)</f>
        <v>0</v>
      </c>
      <c r="P347" s="7">
        <f>IFERROR(CLEAN_TABLE[[#This Row],[Savings]]/CLEAN_TABLE[[#This Row],[Income]],0)</f>
        <v>0.51925346915634196</v>
      </c>
      <c r="Q347" s="7">
        <f>IF(CLEAN_TABLE[[#This Row],[Farmer_Type]]="Smart", 1 - (CLEAN_TABLE[[#This Row],[Irrigation]] / 70), 1 - (CLEAN_TABLE[[#This Row],[Irrigation]] / 150))</f>
        <v>0.84314285714285719</v>
      </c>
      <c r="R3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1593.14</v>
      </c>
    </row>
    <row r="348" spans="1:19">
      <c r="A348" s="6">
        <f>FARM_DATA[[#This Row],[Date]]</f>
        <v>45729</v>
      </c>
      <c r="B348" s="5" t="str">
        <f>FARM_DATA[[#This Row],[Farmer_Type]]</f>
        <v>Traditional</v>
      </c>
      <c r="C348" s="8">
        <f>FARM_DATA[[#This Row],[Income]]</f>
        <v>324.18</v>
      </c>
      <c r="D348" s="8">
        <f>FARM_DATA[[#This Row],[Irrigation]]</f>
        <v>68.040000000000006</v>
      </c>
      <c r="E348" s="8">
        <f>FARM_DATA[[#This Row],[Seeds]]</f>
        <v>36.909999999999997</v>
      </c>
      <c r="F348" s="8">
        <f>FARM_DATA[[#This Row],[Fertilizer]]</f>
        <v>40.07</v>
      </c>
      <c r="G348" s="8">
        <f>FARM_DATA[[#This Row],[Labor]]</f>
        <v>105.58</v>
      </c>
      <c r="H348" s="8">
        <f>FARM_DATA[[#This Row],[Household]]</f>
        <v>103.54</v>
      </c>
      <c r="I348" s="8">
        <f>FARM_DATA[[#This Row],[Medical]]</f>
        <v>16.07</v>
      </c>
      <c r="J348" s="8">
        <f>FARM_DATA[[#This Row],[Misc]]</f>
        <v>26.58</v>
      </c>
      <c r="K348" s="8">
        <f>FARM_DATA[[#This Row],[Total_Expenses]]</f>
        <v>396.79</v>
      </c>
      <c r="L348" s="30">
        <f>FARM_DATA[[#This Row],[Savings]]</f>
        <v>-72.61</v>
      </c>
      <c r="M348" s="5" t="str">
        <f>TEXT(CLEAN_TABLE[[#This Row],[Date]], "mmm")</f>
        <v>Mar</v>
      </c>
      <c r="N348" s="5">
        <f>YEAR(CLEAN_TABLE[[#This Row],[Date]])</f>
        <v>2025</v>
      </c>
      <c r="O348" s="5">
        <f>IF(CLEAN_TABLE[[#This Row],[Farmer_Type]]="Smart",0,1)</f>
        <v>1</v>
      </c>
      <c r="P348" s="7">
        <f>IFERROR(CLEAN_TABLE[[#This Row],[Savings]]/CLEAN_TABLE[[#This Row],[Income]],0)</f>
        <v>-0.22398050465790609</v>
      </c>
      <c r="Q348" s="7">
        <f>IF(CLEAN_TABLE[[#This Row],[Farmer_Type]]="Smart", 1 - (CLEAN_TABLE[[#This Row],[Irrigation]] / 70), 1 - (CLEAN_TABLE[[#This Row],[Irrigation]] / 150))</f>
        <v>0.5464</v>
      </c>
      <c r="R3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720.97</v>
      </c>
    </row>
    <row r="349" spans="1:19">
      <c r="A349" s="6">
        <f>FARM_DATA[[#This Row],[Date]]</f>
        <v>45730</v>
      </c>
      <c r="B349" s="5" t="str">
        <f>FARM_DATA[[#This Row],[Farmer_Type]]</f>
        <v>Smart</v>
      </c>
      <c r="C349" s="8">
        <f>FARM_DATA[[#This Row],[Income]]</f>
        <v>898.76</v>
      </c>
      <c r="D349" s="8">
        <f>FARM_DATA[[#This Row],[Irrigation]]</f>
        <v>13.79</v>
      </c>
      <c r="E349" s="8">
        <f>FARM_DATA[[#This Row],[Seeds]]</f>
        <v>58.76</v>
      </c>
      <c r="F349" s="8">
        <f>FARM_DATA[[#This Row],[Fertilizer]]</f>
        <v>94.38</v>
      </c>
      <c r="G349" s="8">
        <f>FARM_DATA[[#This Row],[Labor]]</f>
        <v>112.49</v>
      </c>
      <c r="H349" s="8">
        <f>FARM_DATA[[#This Row],[Household]]</f>
        <v>147.26</v>
      </c>
      <c r="I349" s="8">
        <f>FARM_DATA[[#This Row],[Medical]]</f>
        <v>11.17</v>
      </c>
      <c r="J349" s="8">
        <f>FARM_DATA[[#This Row],[Misc]]</f>
        <v>24.37</v>
      </c>
      <c r="K349" s="8">
        <f>FARM_DATA[[#This Row],[Total_Expenses]]</f>
        <v>462.23</v>
      </c>
      <c r="L349" s="30">
        <f>FARM_DATA[[#This Row],[Savings]]</f>
        <v>436.53</v>
      </c>
      <c r="M349" s="5" t="str">
        <f>TEXT(CLEAN_TABLE[[#This Row],[Date]], "mmm")</f>
        <v>Mar</v>
      </c>
      <c r="N349" s="5">
        <f>YEAR(CLEAN_TABLE[[#This Row],[Date]])</f>
        <v>2025</v>
      </c>
      <c r="O349" s="5">
        <f>IF(CLEAN_TABLE[[#This Row],[Farmer_Type]]="Smart",0,1)</f>
        <v>0</v>
      </c>
      <c r="P349" s="7">
        <f>IFERROR(CLEAN_TABLE[[#This Row],[Savings]]/CLEAN_TABLE[[#This Row],[Income]],0)</f>
        <v>0.48570252347679022</v>
      </c>
      <c r="Q349" s="7">
        <f>IF(CLEAN_TABLE[[#This Row],[Farmer_Type]]="Smart", 1 - (CLEAN_TABLE[[#This Row],[Irrigation]] / 70), 1 - (CLEAN_TABLE[[#This Row],[Irrigation]] / 150))</f>
        <v>0.80300000000000005</v>
      </c>
      <c r="R3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1360.98</v>
      </c>
    </row>
    <row r="350" spans="1:19">
      <c r="A350" s="6">
        <f>FARM_DATA[[#This Row],[Date]]</f>
        <v>45731</v>
      </c>
      <c r="B350" s="5" t="str">
        <f>FARM_DATA[[#This Row],[Farmer_Type]]</f>
        <v>Traditional</v>
      </c>
      <c r="C350" s="8">
        <f>FARM_DATA[[#This Row],[Income]]</f>
        <v>325.64</v>
      </c>
      <c r="D350" s="8">
        <f>FARM_DATA[[#This Row],[Irrigation]]</f>
        <v>66.48</v>
      </c>
      <c r="E350" s="8">
        <f>FARM_DATA[[#This Row],[Seeds]]</f>
        <v>28.45</v>
      </c>
      <c r="F350" s="8">
        <f>FARM_DATA[[#This Row],[Fertilizer]]</f>
        <v>29.08</v>
      </c>
      <c r="G350" s="8">
        <f>FARM_DATA[[#This Row],[Labor]]</f>
        <v>98.6</v>
      </c>
      <c r="H350" s="8">
        <f>FARM_DATA[[#This Row],[Household]]</f>
        <v>155.44</v>
      </c>
      <c r="I350" s="8">
        <f>FARM_DATA[[#This Row],[Medical]]</f>
        <v>24.76</v>
      </c>
      <c r="J350" s="8">
        <f>FARM_DATA[[#This Row],[Misc]]</f>
        <v>23.31</v>
      </c>
      <c r="K350" s="8">
        <f>FARM_DATA[[#This Row],[Total_Expenses]]</f>
        <v>426.12</v>
      </c>
      <c r="L350" s="30">
        <f>FARM_DATA[[#This Row],[Savings]]</f>
        <v>-100.48</v>
      </c>
      <c r="M350" s="5" t="str">
        <f>TEXT(CLEAN_TABLE[[#This Row],[Date]], "mmm")</f>
        <v>Mar</v>
      </c>
      <c r="N350" s="5">
        <f>YEAR(CLEAN_TABLE[[#This Row],[Date]])</f>
        <v>2025</v>
      </c>
      <c r="O350" s="5">
        <f>IF(CLEAN_TABLE[[#This Row],[Farmer_Type]]="Smart",0,1)</f>
        <v>1</v>
      </c>
      <c r="P350" s="7">
        <f>IFERROR(CLEAN_TABLE[[#This Row],[Savings]]/CLEAN_TABLE[[#This Row],[Income]],0)</f>
        <v>-0.30856160176882447</v>
      </c>
      <c r="Q350" s="7">
        <f>IF(CLEAN_TABLE[[#This Row],[Farmer_Type]]="Smart", 1 - (CLEAN_TABLE[[#This Row],[Irrigation]] / 70), 1 - (CLEAN_TABLE[[#This Row],[Irrigation]] / 150))</f>
        <v>0.55679999999999996</v>
      </c>
      <c r="R3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751.76</v>
      </c>
    </row>
    <row r="351" spans="1:19">
      <c r="A351" s="6">
        <f>FARM_DATA[[#This Row],[Date]]</f>
        <v>45732</v>
      </c>
      <c r="B351" s="5" t="str">
        <f>FARM_DATA[[#This Row],[Farmer_Type]]</f>
        <v>Smart</v>
      </c>
      <c r="C351" s="8">
        <f>FARM_DATA[[#This Row],[Income]]</f>
        <v>867.4</v>
      </c>
      <c r="D351" s="8">
        <f>FARM_DATA[[#This Row],[Irrigation]]</f>
        <v>10.37</v>
      </c>
      <c r="E351" s="8">
        <f>FARM_DATA[[#This Row],[Seeds]]</f>
        <v>59.37</v>
      </c>
      <c r="F351" s="8">
        <f>FARM_DATA[[#This Row],[Fertilizer]]</f>
        <v>54.55</v>
      </c>
      <c r="G351" s="8">
        <f>FARM_DATA[[#This Row],[Labor]]</f>
        <v>106.46</v>
      </c>
      <c r="H351" s="8">
        <f>FARM_DATA[[#This Row],[Household]]</f>
        <v>107.49</v>
      </c>
      <c r="I351" s="8">
        <f>FARM_DATA[[#This Row],[Medical]]</f>
        <v>18.760000000000002</v>
      </c>
      <c r="J351" s="8">
        <f>FARM_DATA[[#This Row],[Misc]]</f>
        <v>44.52</v>
      </c>
      <c r="K351" s="8">
        <f>FARM_DATA[[#This Row],[Total_Expenses]]</f>
        <v>401.52</v>
      </c>
      <c r="L351" s="30">
        <f>FARM_DATA[[#This Row],[Savings]]</f>
        <v>465.88</v>
      </c>
      <c r="M351" s="5" t="str">
        <f>TEXT(CLEAN_TABLE[[#This Row],[Date]], "mmm")</f>
        <v>Mar</v>
      </c>
      <c r="N351" s="5">
        <f>YEAR(CLEAN_TABLE[[#This Row],[Date]])</f>
        <v>2025</v>
      </c>
      <c r="O351" s="5">
        <f>IF(CLEAN_TABLE[[#This Row],[Farmer_Type]]="Smart",0,1)</f>
        <v>0</v>
      </c>
      <c r="P351" s="7">
        <f>IFERROR(CLEAN_TABLE[[#This Row],[Savings]]/CLEAN_TABLE[[#This Row],[Income]],0)</f>
        <v>0.53709937744985015</v>
      </c>
      <c r="Q351" s="7">
        <f>IF(CLEAN_TABLE[[#This Row],[Farmer_Type]]="Smart", 1 - (CLEAN_TABLE[[#This Row],[Irrigation]] / 70), 1 - (CLEAN_TABLE[[#This Row],[Irrigation]] / 150))</f>
        <v>0.85185714285714287</v>
      </c>
      <c r="R3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1268.9199999999998</v>
      </c>
    </row>
    <row r="352" spans="1:19">
      <c r="A352" s="6">
        <f>FARM_DATA[[#This Row],[Date]]</f>
        <v>45733</v>
      </c>
      <c r="B352" s="5" t="str">
        <f>FARM_DATA[[#This Row],[Farmer_Type]]</f>
        <v>Traditional</v>
      </c>
      <c r="C352" s="8">
        <f>FARM_DATA[[#This Row],[Income]]</f>
        <v>359.19</v>
      </c>
      <c r="D352" s="8">
        <f>FARM_DATA[[#This Row],[Irrigation]]</f>
        <v>96.93</v>
      </c>
      <c r="E352" s="8">
        <f>FARM_DATA[[#This Row],[Seeds]]</f>
        <v>45.25</v>
      </c>
      <c r="F352" s="8">
        <f>FARM_DATA[[#This Row],[Fertilizer]]</f>
        <v>34.92</v>
      </c>
      <c r="G352" s="8">
        <f>FARM_DATA[[#This Row],[Labor]]</f>
        <v>107.61</v>
      </c>
      <c r="H352" s="8">
        <f>FARM_DATA[[#This Row],[Household]]</f>
        <v>96.71</v>
      </c>
      <c r="I352" s="8">
        <f>FARM_DATA[[#This Row],[Medical]]</f>
        <v>19.36</v>
      </c>
      <c r="J352" s="8">
        <f>FARM_DATA[[#This Row],[Misc]]</f>
        <v>20</v>
      </c>
      <c r="K352" s="8">
        <f>FARM_DATA[[#This Row],[Total_Expenses]]</f>
        <v>420.78</v>
      </c>
      <c r="L352" s="30">
        <f>FARM_DATA[[#This Row],[Savings]]</f>
        <v>-61.59</v>
      </c>
      <c r="M352" s="5" t="str">
        <f>TEXT(CLEAN_TABLE[[#This Row],[Date]], "mmm")</f>
        <v>Mar</v>
      </c>
      <c r="N352" s="5">
        <f>YEAR(CLEAN_TABLE[[#This Row],[Date]])</f>
        <v>2025</v>
      </c>
      <c r="O352" s="5">
        <f>IF(CLEAN_TABLE[[#This Row],[Farmer_Type]]="Smart",0,1)</f>
        <v>1</v>
      </c>
      <c r="P352" s="7">
        <f>IFERROR(CLEAN_TABLE[[#This Row],[Savings]]/CLEAN_TABLE[[#This Row],[Income]],0)</f>
        <v>-0.171469138895849</v>
      </c>
      <c r="Q352" s="7">
        <f>IF(CLEAN_TABLE[[#This Row],[Farmer_Type]]="Smart", 1 - (CLEAN_TABLE[[#This Row],[Irrigation]] / 70), 1 - (CLEAN_TABLE[[#This Row],[Irrigation]] / 150))</f>
        <v>0.3538</v>
      </c>
      <c r="R3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779.97</v>
      </c>
    </row>
    <row r="353" spans="1:19">
      <c r="A353" s="6">
        <f>FARM_DATA[[#This Row],[Date]]</f>
        <v>45734</v>
      </c>
      <c r="B353" s="5" t="str">
        <f>FARM_DATA[[#This Row],[Farmer_Type]]</f>
        <v>Traditional</v>
      </c>
      <c r="C353" s="8">
        <f>FARM_DATA[[#This Row],[Income]]</f>
        <v>395.77</v>
      </c>
      <c r="D353" s="8">
        <f>FARM_DATA[[#This Row],[Irrigation]]</f>
        <v>64.5</v>
      </c>
      <c r="E353" s="8">
        <f>FARM_DATA[[#This Row],[Seeds]]</f>
        <v>38.25</v>
      </c>
      <c r="F353" s="8">
        <f>FARM_DATA[[#This Row],[Fertilizer]]</f>
        <v>42.29</v>
      </c>
      <c r="G353" s="8">
        <f>FARM_DATA[[#This Row],[Labor]]</f>
        <v>153.47</v>
      </c>
      <c r="H353" s="8">
        <f>FARM_DATA[[#This Row],[Household]]</f>
        <v>140.36000000000001</v>
      </c>
      <c r="I353" s="8">
        <f>FARM_DATA[[#This Row],[Medical]]</f>
        <v>34.659999999999997</v>
      </c>
      <c r="J353" s="8">
        <f>FARM_DATA[[#This Row],[Misc]]</f>
        <v>39.770000000000003</v>
      </c>
      <c r="K353" s="8">
        <f>FARM_DATA[[#This Row],[Total_Expenses]]</f>
        <v>513.30999999999995</v>
      </c>
      <c r="L353" s="30">
        <f>FARM_DATA[[#This Row],[Savings]]</f>
        <v>-117.54</v>
      </c>
      <c r="M353" s="5" t="str">
        <f>TEXT(CLEAN_TABLE[[#This Row],[Date]], "mmm")</f>
        <v>Mar</v>
      </c>
      <c r="N353" s="5">
        <f>YEAR(CLEAN_TABLE[[#This Row],[Date]])</f>
        <v>2025</v>
      </c>
      <c r="O353" s="5">
        <f>IF(CLEAN_TABLE[[#This Row],[Farmer_Type]]="Smart",0,1)</f>
        <v>1</v>
      </c>
      <c r="P353" s="7">
        <f>IFERROR(CLEAN_TABLE[[#This Row],[Savings]]/CLEAN_TABLE[[#This Row],[Income]],0)</f>
        <v>-0.29699067640296134</v>
      </c>
      <c r="Q353" s="7">
        <f>IF(CLEAN_TABLE[[#This Row],[Farmer_Type]]="Smart", 1 - (CLEAN_TABLE[[#This Row],[Irrigation]] / 70), 1 - (CLEAN_TABLE[[#This Row],[Irrigation]] / 150))</f>
        <v>0.57000000000000006</v>
      </c>
      <c r="R3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909.06999999999994</v>
      </c>
    </row>
    <row r="354" spans="1:19">
      <c r="A354" s="6">
        <f>FARM_DATA[[#This Row],[Date]]</f>
        <v>45735</v>
      </c>
      <c r="B354" s="5" t="str">
        <f>FARM_DATA[[#This Row],[Farmer_Type]]</f>
        <v>Smart</v>
      </c>
      <c r="C354" s="8">
        <f>FARM_DATA[[#This Row],[Income]]</f>
        <v>1046.4100000000001</v>
      </c>
      <c r="D354" s="8">
        <f>FARM_DATA[[#This Row],[Irrigation]]</f>
        <v>16.84</v>
      </c>
      <c r="E354" s="8">
        <f>FARM_DATA[[#This Row],[Seeds]]</f>
        <v>67.88</v>
      </c>
      <c r="F354" s="8">
        <f>FARM_DATA[[#This Row],[Fertilizer]]</f>
        <v>22.17</v>
      </c>
      <c r="G354" s="8">
        <f>FARM_DATA[[#This Row],[Labor]]</f>
        <v>89.42</v>
      </c>
      <c r="H354" s="8">
        <f>FARM_DATA[[#This Row],[Household]]</f>
        <v>199.58</v>
      </c>
      <c r="I354" s="8">
        <f>FARM_DATA[[#This Row],[Medical]]</f>
        <v>21.56</v>
      </c>
      <c r="J354" s="8">
        <f>FARM_DATA[[#This Row],[Misc]]</f>
        <v>18.920000000000002</v>
      </c>
      <c r="K354" s="8">
        <f>FARM_DATA[[#This Row],[Total_Expenses]]</f>
        <v>436.37</v>
      </c>
      <c r="L354" s="30">
        <f>FARM_DATA[[#This Row],[Savings]]</f>
        <v>610.04</v>
      </c>
      <c r="M354" s="5" t="str">
        <f>TEXT(CLEAN_TABLE[[#This Row],[Date]], "mmm")</f>
        <v>Mar</v>
      </c>
      <c r="N354" s="5">
        <f>YEAR(CLEAN_TABLE[[#This Row],[Date]])</f>
        <v>2025</v>
      </c>
      <c r="O354" s="5">
        <f>IF(CLEAN_TABLE[[#This Row],[Farmer_Type]]="Smart",0,1)</f>
        <v>0</v>
      </c>
      <c r="P354" s="7">
        <f>IFERROR(CLEAN_TABLE[[#This Row],[Savings]]/CLEAN_TABLE[[#This Row],[Income]],0)</f>
        <v>0.58298372530843545</v>
      </c>
      <c r="Q354" s="7">
        <f>IF(CLEAN_TABLE[[#This Row],[Farmer_Type]]="Smart", 1 - (CLEAN_TABLE[[#This Row],[Irrigation]] / 70), 1 - (CLEAN_TABLE[[#This Row],[Irrigation]] / 150))</f>
        <v>0.75942857142857145</v>
      </c>
      <c r="R3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1482.7800000000002</v>
      </c>
    </row>
    <row r="355" spans="1:19">
      <c r="A355" s="6">
        <f>FARM_DATA[[#This Row],[Date]]</f>
        <v>45736</v>
      </c>
      <c r="B355" s="5" t="str">
        <f>FARM_DATA[[#This Row],[Farmer_Type]]</f>
        <v>Smart</v>
      </c>
      <c r="C355" s="8">
        <f>FARM_DATA[[#This Row],[Income]]</f>
        <v>939.52</v>
      </c>
      <c r="D355" s="8">
        <f>FARM_DATA[[#This Row],[Irrigation]]</f>
        <v>23.52</v>
      </c>
      <c r="E355" s="8">
        <f>FARM_DATA[[#This Row],[Seeds]]</f>
        <v>84.94</v>
      </c>
      <c r="F355" s="8">
        <f>FARM_DATA[[#This Row],[Fertilizer]]</f>
        <v>78.14</v>
      </c>
      <c r="G355" s="8">
        <f>FARM_DATA[[#This Row],[Labor]]</f>
        <v>114.03</v>
      </c>
      <c r="H355" s="8">
        <f>FARM_DATA[[#This Row],[Household]]</f>
        <v>157.16999999999999</v>
      </c>
      <c r="I355" s="8">
        <f>FARM_DATA[[#This Row],[Medical]]</f>
        <v>6.67</v>
      </c>
      <c r="J355" s="8">
        <f>FARM_DATA[[#This Row],[Misc]]</f>
        <v>26.13</v>
      </c>
      <c r="K355" s="8">
        <f>FARM_DATA[[#This Row],[Total_Expenses]]</f>
        <v>490.6</v>
      </c>
      <c r="L355" s="30">
        <f>FARM_DATA[[#This Row],[Savings]]</f>
        <v>448.92</v>
      </c>
      <c r="M355" s="5" t="str">
        <f>TEXT(CLEAN_TABLE[[#This Row],[Date]], "mmm")</f>
        <v>Mar</v>
      </c>
      <c r="N355" s="5">
        <f>YEAR(CLEAN_TABLE[[#This Row],[Date]])</f>
        <v>2025</v>
      </c>
      <c r="O355" s="5">
        <f>IF(CLEAN_TABLE[[#This Row],[Farmer_Type]]="Smart",0,1)</f>
        <v>0</v>
      </c>
      <c r="P355" s="7">
        <f>IFERROR(CLEAN_TABLE[[#This Row],[Savings]]/CLEAN_TABLE[[#This Row],[Income]],0)</f>
        <v>0.47781846049046323</v>
      </c>
      <c r="Q355" s="7">
        <f>IF(CLEAN_TABLE[[#This Row],[Farmer_Type]]="Smart", 1 - (CLEAN_TABLE[[#This Row],[Irrigation]] / 70), 1 - (CLEAN_TABLE[[#This Row],[Irrigation]] / 150))</f>
        <v>0.66399999999999992</v>
      </c>
      <c r="R3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1430.1200000000003</v>
      </c>
    </row>
    <row r="356" spans="1:19">
      <c r="A356" s="6">
        <f>FARM_DATA[[#This Row],[Date]]</f>
        <v>45737</v>
      </c>
      <c r="B356" s="5" t="str">
        <f>FARM_DATA[[#This Row],[Farmer_Type]]</f>
        <v>Traditional</v>
      </c>
      <c r="C356" s="8">
        <f>FARM_DATA[[#This Row],[Income]]</f>
        <v>428.14</v>
      </c>
      <c r="D356" s="8">
        <f>FARM_DATA[[#This Row],[Irrigation]]</f>
        <v>67.260000000000005</v>
      </c>
      <c r="E356" s="8">
        <f>FARM_DATA[[#This Row],[Seeds]]</f>
        <v>36.35</v>
      </c>
      <c r="F356" s="8">
        <f>FARM_DATA[[#This Row],[Fertilizer]]</f>
        <v>49</v>
      </c>
      <c r="G356" s="8">
        <f>FARM_DATA[[#This Row],[Labor]]</f>
        <v>157.6</v>
      </c>
      <c r="H356" s="8">
        <f>FARM_DATA[[#This Row],[Household]]</f>
        <v>198.78</v>
      </c>
      <c r="I356" s="8">
        <f>FARM_DATA[[#This Row],[Medical]]</f>
        <v>37.75</v>
      </c>
      <c r="J356" s="8">
        <f>FARM_DATA[[#This Row],[Misc]]</f>
        <v>28.09</v>
      </c>
      <c r="K356" s="8">
        <f>FARM_DATA[[#This Row],[Total_Expenses]]</f>
        <v>574.84</v>
      </c>
      <c r="L356" s="30">
        <f>FARM_DATA[[#This Row],[Savings]]</f>
        <v>-146.69</v>
      </c>
      <c r="M356" s="5" t="str">
        <f>TEXT(CLEAN_TABLE[[#This Row],[Date]], "mmm")</f>
        <v>Mar</v>
      </c>
      <c r="N356" s="5">
        <f>YEAR(CLEAN_TABLE[[#This Row],[Date]])</f>
        <v>2025</v>
      </c>
      <c r="O356" s="5">
        <f>IF(CLEAN_TABLE[[#This Row],[Farmer_Type]]="Smart",0,1)</f>
        <v>1</v>
      </c>
      <c r="P356" s="7">
        <f>IFERROR(CLEAN_TABLE[[#This Row],[Savings]]/CLEAN_TABLE[[#This Row],[Income]],0)</f>
        <v>-0.34262157238286545</v>
      </c>
      <c r="Q356" s="7">
        <f>IF(CLEAN_TABLE[[#This Row],[Farmer_Type]]="Smart", 1 - (CLEAN_TABLE[[#This Row],[Irrigation]] / 70), 1 - (CLEAN_TABLE[[#This Row],[Irrigation]] / 150))</f>
        <v>0.55159999999999998</v>
      </c>
      <c r="R3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1002.97</v>
      </c>
    </row>
    <row r="357" spans="1:19">
      <c r="A357" s="6">
        <f>FARM_DATA[[#This Row],[Date]]</f>
        <v>45738</v>
      </c>
      <c r="B357" s="5" t="str">
        <f>FARM_DATA[[#This Row],[Farmer_Type]]</f>
        <v>Smart</v>
      </c>
      <c r="C357" s="8">
        <f>FARM_DATA[[#This Row],[Income]]</f>
        <v>1009.12</v>
      </c>
      <c r="D357" s="8">
        <f>FARM_DATA[[#This Row],[Irrigation]]</f>
        <v>7.42</v>
      </c>
      <c r="E357" s="8">
        <f>FARM_DATA[[#This Row],[Seeds]]</f>
        <v>89.54</v>
      </c>
      <c r="F357" s="8">
        <f>FARM_DATA[[#This Row],[Fertilizer]]</f>
        <v>44.97</v>
      </c>
      <c r="G357" s="8">
        <f>FARM_DATA[[#This Row],[Labor]]</f>
        <v>99.34</v>
      </c>
      <c r="H357" s="8">
        <f>FARM_DATA[[#This Row],[Household]]</f>
        <v>131.59</v>
      </c>
      <c r="I357" s="8">
        <f>FARM_DATA[[#This Row],[Medical]]</f>
        <v>16.7</v>
      </c>
      <c r="J357" s="8">
        <f>FARM_DATA[[#This Row],[Misc]]</f>
        <v>27.44</v>
      </c>
      <c r="K357" s="8">
        <f>FARM_DATA[[#This Row],[Total_Expenses]]</f>
        <v>416.99</v>
      </c>
      <c r="L357" s="30">
        <f>FARM_DATA[[#This Row],[Savings]]</f>
        <v>592.13</v>
      </c>
      <c r="M357" s="5" t="str">
        <f>TEXT(CLEAN_TABLE[[#This Row],[Date]], "mmm")</f>
        <v>Mar</v>
      </c>
      <c r="N357" s="5">
        <f>YEAR(CLEAN_TABLE[[#This Row],[Date]])</f>
        <v>2025</v>
      </c>
      <c r="O357" s="5">
        <f>IF(CLEAN_TABLE[[#This Row],[Farmer_Type]]="Smart",0,1)</f>
        <v>0</v>
      </c>
      <c r="P357" s="7">
        <f>IFERROR(CLEAN_TABLE[[#This Row],[Savings]]/CLEAN_TABLE[[#This Row],[Income]],0)</f>
        <v>0.58677857935627076</v>
      </c>
      <c r="Q357" s="7">
        <f>IF(CLEAN_TABLE[[#This Row],[Farmer_Type]]="Smart", 1 - (CLEAN_TABLE[[#This Row],[Irrigation]] / 70), 1 - (CLEAN_TABLE[[#This Row],[Irrigation]] / 150))</f>
        <v>0.89400000000000002</v>
      </c>
      <c r="R3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1426.12</v>
      </c>
    </row>
    <row r="358" spans="1:19">
      <c r="A358" s="6">
        <f>FARM_DATA[[#This Row],[Date]]</f>
        <v>45739</v>
      </c>
      <c r="B358" s="5" t="str">
        <f>FARM_DATA[[#This Row],[Farmer_Type]]</f>
        <v>Smart</v>
      </c>
      <c r="C358" s="8">
        <f>FARM_DATA[[#This Row],[Income]]</f>
        <v>828.42</v>
      </c>
      <c r="D358" s="8">
        <f>FARM_DATA[[#This Row],[Irrigation]]</f>
        <v>12.3</v>
      </c>
      <c r="E358" s="8">
        <f>FARM_DATA[[#This Row],[Seeds]]</f>
        <v>49.03</v>
      </c>
      <c r="F358" s="8">
        <f>FARM_DATA[[#This Row],[Fertilizer]]</f>
        <v>105</v>
      </c>
      <c r="G358" s="8">
        <f>FARM_DATA[[#This Row],[Labor]]</f>
        <v>72.900000000000006</v>
      </c>
      <c r="H358" s="8">
        <f>FARM_DATA[[#This Row],[Household]]</f>
        <v>177.72</v>
      </c>
      <c r="I358" s="8">
        <f>FARM_DATA[[#This Row],[Medical]]</f>
        <v>32.96</v>
      </c>
      <c r="J358" s="8">
        <f>FARM_DATA[[#This Row],[Misc]]</f>
        <v>32.299999999999997</v>
      </c>
      <c r="K358" s="8">
        <f>FARM_DATA[[#This Row],[Total_Expenses]]</f>
        <v>482.22</v>
      </c>
      <c r="L358" s="30">
        <f>FARM_DATA[[#This Row],[Savings]]</f>
        <v>346.2</v>
      </c>
      <c r="M358" s="5" t="str">
        <f>TEXT(CLEAN_TABLE[[#This Row],[Date]], "mmm")</f>
        <v>Mar</v>
      </c>
      <c r="N358" s="5">
        <f>YEAR(CLEAN_TABLE[[#This Row],[Date]])</f>
        <v>2025</v>
      </c>
      <c r="O358" s="5">
        <f>IF(CLEAN_TABLE[[#This Row],[Farmer_Type]]="Smart",0,1)</f>
        <v>0</v>
      </c>
      <c r="P358" s="7">
        <f>IFERROR(CLEAN_TABLE[[#This Row],[Savings]]/CLEAN_TABLE[[#This Row],[Income]],0)</f>
        <v>0.41790396175852829</v>
      </c>
      <c r="Q358" s="7">
        <f>IF(CLEAN_TABLE[[#This Row],[Farmer_Type]]="Smart", 1 - (CLEAN_TABLE[[#This Row],[Irrigation]] / 70), 1 - (CLEAN_TABLE[[#This Row],[Irrigation]] / 150))</f>
        <v>0.82428571428571429</v>
      </c>
      <c r="R3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1310.6299999999999</v>
      </c>
    </row>
    <row r="359" spans="1:19">
      <c r="A359" s="6">
        <f>FARM_DATA[[#This Row],[Date]]</f>
        <v>45740</v>
      </c>
      <c r="B359" s="5" t="str">
        <f>FARM_DATA[[#This Row],[Farmer_Type]]</f>
        <v>Smart</v>
      </c>
      <c r="C359" s="8">
        <f>FARM_DATA[[#This Row],[Income]]</f>
        <v>806.42</v>
      </c>
      <c r="D359" s="8">
        <f>FARM_DATA[[#This Row],[Irrigation]]</f>
        <v>13.85</v>
      </c>
      <c r="E359" s="8">
        <f>FARM_DATA[[#This Row],[Seeds]]</f>
        <v>83.59</v>
      </c>
      <c r="F359" s="8">
        <f>FARM_DATA[[#This Row],[Fertilizer]]</f>
        <v>85.82</v>
      </c>
      <c r="G359" s="8">
        <f>FARM_DATA[[#This Row],[Labor]]</f>
        <v>84.38</v>
      </c>
      <c r="H359" s="8">
        <f>FARM_DATA[[#This Row],[Household]]</f>
        <v>186.94</v>
      </c>
      <c r="I359" s="8">
        <f>FARM_DATA[[#This Row],[Medical]]</f>
        <v>12.08</v>
      </c>
      <c r="J359" s="8">
        <f>FARM_DATA[[#This Row],[Misc]]</f>
        <v>50.22</v>
      </c>
      <c r="K359" s="8">
        <f>FARM_DATA[[#This Row],[Total_Expenses]]</f>
        <v>516.88</v>
      </c>
      <c r="L359" s="30">
        <f>FARM_DATA[[#This Row],[Savings]]</f>
        <v>289.54000000000002</v>
      </c>
      <c r="M359" s="5" t="str">
        <f>TEXT(CLEAN_TABLE[[#This Row],[Date]], "mmm")</f>
        <v>Mar</v>
      </c>
      <c r="N359" s="5">
        <f>YEAR(CLEAN_TABLE[[#This Row],[Date]])</f>
        <v>2025</v>
      </c>
      <c r="O359" s="5">
        <f>IF(CLEAN_TABLE[[#This Row],[Farmer_Type]]="Smart",0,1)</f>
        <v>0</v>
      </c>
      <c r="P359" s="7">
        <f>IFERROR(CLEAN_TABLE[[#This Row],[Savings]]/CLEAN_TABLE[[#This Row],[Income]],0)</f>
        <v>0.35904367451204089</v>
      </c>
      <c r="Q359" s="7">
        <f>IF(CLEAN_TABLE[[#This Row],[Farmer_Type]]="Smart", 1 - (CLEAN_TABLE[[#This Row],[Irrigation]] / 70), 1 - (CLEAN_TABLE[[#This Row],[Irrigation]] / 150))</f>
        <v>0.80214285714285716</v>
      </c>
      <c r="R3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1323.3</v>
      </c>
    </row>
    <row r="360" spans="1:19">
      <c r="A360" s="6">
        <f>FARM_DATA[[#This Row],[Date]]</f>
        <v>45741</v>
      </c>
      <c r="B360" s="5" t="str">
        <f>FARM_DATA[[#This Row],[Farmer_Type]]</f>
        <v>Traditional</v>
      </c>
      <c r="C360" s="8">
        <f>FARM_DATA[[#This Row],[Income]]</f>
        <v>370.43</v>
      </c>
      <c r="D360" s="8">
        <f>FARM_DATA[[#This Row],[Irrigation]]</f>
        <v>66.92</v>
      </c>
      <c r="E360" s="8">
        <f>FARM_DATA[[#This Row],[Seeds]]</f>
        <v>27.42</v>
      </c>
      <c r="F360" s="8">
        <f>FARM_DATA[[#This Row],[Fertilizer]]</f>
        <v>37.270000000000003</v>
      </c>
      <c r="G360" s="8">
        <f>FARM_DATA[[#This Row],[Labor]]</f>
        <v>123.37</v>
      </c>
      <c r="H360" s="8">
        <f>FARM_DATA[[#This Row],[Household]]</f>
        <v>186.87</v>
      </c>
      <c r="I360" s="8">
        <f>FARM_DATA[[#This Row],[Medical]]</f>
        <v>14.9</v>
      </c>
      <c r="J360" s="8">
        <f>FARM_DATA[[#This Row],[Misc]]</f>
        <v>35.5</v>
      </c>
      <c r="K360" s="8">
        <f>FARM_DATA[[#This Row],[Total_Expenses]]</f>
        <v>492.25</v>
      </c>
      <c r="L360" s="30">
        <f>FARM_DATA[[#This Row],[Savings]]</f>
        <v>-121.82</v>
      </c>
      <c r="M360" s="5" t="str">
        <f>TEXT(CLEAN_TABLE[[#This Row],[Date]], "mmm")</f>
        <v>Mar</v>
      </c>
      <c r="N360" s="5">
        <f>YEAR(CLEAN_TABLE[[#This Row],[Date]])</f>
        <v>2025</v>
      </c>
      <c r="O360" s="5">
        <f>IF(CLEAN_TABLE[[#This Row],[Farmer_Type]]="Smart",0,1)</f>
        <v>1</v>
      </c>
      <c r="P360" s="7">
        <f>IFERROR(CLEAN_TABLE[[#This Row],[Savings]]/CLEAN_TABLE[[#This Row],[Income]],0)</f>
        <v>-0.32886105337040733</v>
      </c>
      <c r="Q360" s="7">
        <f>IF(CLEAN_TABLE[[#This Row],[Farmer_Type]]="Smart", 1 - (CLEAN_TABLE[[#This Row],[Irrigation]] / 70), 1 - (CLEAN_TABLE[[#This Row],[Irrigation]] / 150))</f>
        <v>0.55386666666666673</v>
      </c>
      <c r="R3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862.68000000000006</v>
      </c>
    </row>
    <row r="361" spans="1:19">
      <c r="A361" s="6">
        <f>FARM_DATA[[#This Row],[Date]]</f>
        <v>45742</v>
      </c>
      <c r="B361" s="5" t="str">
        <f>FARM_DATA[[#This Row],[Farmer_Type]]</f>
        <v>Smart</v>
      </c>
      <c r="C361" s="8">
        <f>FARM_DATA[[#This Row],[Income]]</f>
        <v>532.59</v>
      </c>
      <c r="D361" s="8">
        <f>FARM_DATA[[#This Row],[Irrigation]]</f>
        <v>12.08</v>
      </c>
      <c r="E361" s="8">
        <f>FARM_DATA[[#This Row],[Seeds]]</f>
        <v>59.38</v>
      </c>
      <c r="F361" s="8">
        <f>FARM_DATA[[#This Row],[Fertilizer]]</f>
        <v>52.71</v>
      </c>
      <c r="G361" s="8">
        <f>FARM_DATA[[#This Row],[Labor]]</f>
        <v>76.27</v>
      </c>
      <c r="H361" s="8">
        <f>FARM_DATA[[#This Row],[Household]]</f>
        <v>146.63</v>
      </c>
      <c r="I361" s="8">
        <f>FARM_DATA[[#This Row],[Medical]]</f>
        <v>24.63</v>
      </c>
      <c r="J361" s="8">
        <f>FARM_DATA[[#This Row],[Misc]]</f>
        <v>37.19</v>
      </c>
      <c r="K361" s="8">
        <f>FARM_DATA[[#This Row],[Total_Expenses]]</f>
        <v>408.88</v>
      </c>
      <c r="L361" s="30">
        <f>FARM_DATA[[#This Row],[Savings]]</f>
        <v>123.71</v>
      </c>
      <c r="M361" s="5" t="str">
        <f>TEXT(CLEAN_TABLE[[#This Row],[Date]], "mmm")</f>
        <v>Mar</v>
      </c>
      <c r="N361" s="5">
        <f>YEAR(CLEAN_TABLE[[#This Row],[Date]])</f>
        <v>2025</v>
      </c>
      <c r="O361" s="5">
        <f>IF(CLEAN_TABLE[[#This Row],[Farmer_Type]]="Smart",0,1)</f>
        <v>0</v>
      </c>
      <c r="P361" s="7">
        <f>IFERROR(CLEAN_TABLE[[#This Row],[Savings]]/CLEAN_TABLE[[#This Row],[Income]],0)</f>
        <v>0.23227999023639195</v>
      </c>
      <c r="Q361" s="7">
        <f>IF(CLEAN_TABLE[[#This Row],[Farmer_Type]]="Smart", 1 - (CLEAN_TABLE[[#This Row],[Irrigation]] / 70), 1 - (CLEAN_TABLE[[#This Row],[Irrigation]] / 150))</f>
        <v>0.8274285714285714</v>
      </c>
      <c r="R3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941.48</v>
      </c>
    </row>
    <row r="362" spans="1:19">
      <c r="A362" s="6">
        <f>FARM_DATA[[#This Row],[Date]]</f>
        <v>45743</v>
      </c>
      <c r="B362" s="5" t="str">
        <f>FARM_DATA[[#This Row],[Farmer_Type]]</f>
        <v>Smart</v>
      </c>
      <c r="C362" s="8">
        <f>FARM_DATA[[#This Row],[Income]]</f>
        <v>502.35</v>
      </c>
      <c r="D362" s="8">
        <f>FARM_DATA[[#This Row],[Irrigation]]</f>
        <v>4.4000000000000004</v>
      </c>
      <c r="E362" s="8">
        <f>FARM_DATA[[#This Row],[Seeds]]</f>
        <v>47.86</v>
      </c>
      <c r="F362" s="8">
        <f>FARM_DATA[[#This Row],[Fertilizer]]</f>
        <v>93.73</v>
      </c>
      <c r="G362" s="8">
        <f>FARM_DATA[[#This Row],[Labor]]</f>
        <v>40.049999999999997</v>
      </c>
      <c r="H362" s="8">
        <f>FARM_DATA[[#This Row],[Household]]</f>
        <v>152.51</v>
      </c>
      <c r="I362" s="8">
        <f>FARM_DATA[[#This Row],[Medical]]</f>
        <v>17.260000000000002</v>
      </c>
      <c r="J362" s="8">
        <f>FARM_DATA[[#This Row],[Misc]]</f>
        <v>60.83</v>
      </c>
      <c r="K362" s="8">
        <f>FARM_DATA[[#This Row],[Total_Expenses]]</f>
        <v>416.64</v>
      </c>
      <c r="L362" s="30">
        <f>FARM_DATA[[#This Row],[Savings]]</f>
        <v>85.72</v>
      </c>
      <c r="M362" s="5" t="str">
        <f>TEXT(CLEAN_TABLE[[#This Row],[Date]], "mmm")</f>
        <v>Mar</v>
      </c>
      <c r="N362" s="5">
        <f>YEAR(CLEAN_TABLE[[#This Row],[Date]])</f>
        <v>2025</v>
      </c>
      <c r="O362" s="5">
        <f>IF(CLEAN_TABLE[[#This Row],[Farmer_Type]]="Smart",0,1)</f>
        <v>0</v>
      </c>
      <c r="P362" s="7">
        <f>IFERROR(CLEAN_TABLE[[#This Row],[Savings]]/CLEAN_TABLE[[#This Row],[Income]],0)</f>
        <v>0.17063800139345078</v>
      </c>
      <c r="Q362" s="7">
        <f>IF(CLEAN_TABLE[[#This Row],[Farmer_Type]]="Smart", 1 - (CLEAN_TABLE[[#This Row],[Irrigation]] / 70), 1 - (CLEAN_TABLE[[#This Row],[Irrigation]] / 150))</f>
        <v>0.93714285714285717</v>
      </c>
      <c r="R3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3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918.99</v>
      </c>
    </row>
    <row r="363" spans="1:19">
      <c r="A363" s="6">
        <f>FARM_DATA[[#This Row],[Date]]</f>
        <v>45744</v>
      </c>
      <c r="B363" s="5" t="str">
        <f>FARM_DATA[[#This Row],[Farmer_Type]]</f>
        <v>Traditional</v>
      </c>
      <c r="C363" s="8">
        <f>FARM_DATA[[#This Row],[Income]]</f>
        <v>330.75</v>
      </c>
      <c r="D363" s="8">
        <f>FARM_DATA[[#This Row],[Irrigation]]</f>
        <v>73.83</v>
      </c>
      <c r="E363" s="8">
        <f>FARM_DATA[[#This Row],[Seeds]]</f>
        <v>42.12</v>
      </c>
      <c r="F363" s="8">
        <f>FARM_DATA[[#This Row],[Fertilizer]]</f>
        <v>12.39</v>
      </c>
      <c r="G363" s="8">
        <f>FARM_DATA[[#This Row],[Labor]]</f>
        <v>129.21</v>
      </c>
      <c r="H363" s="8">
        <f>FARM_DATA[[#This Row],[Household]]</f>
        <v>156.46</v>
      </c>
      <c r="I363" s="8">
        <f>FARM_DATA[[#This Row],[Medical]]</f>
        <v>24.07</v>
      </c>
      <c r="J363" s="8">
        <f>FARM_DATA[[#This Row],[Misc]]</f>
        <v>77.11</v>
      </c>
      <c r="K363" s="8">
        <f>FARM_DATA[[#This Row],[Total_Expenses]]</f>
        <v>515.19000000000005</v>
      </c>
      <c r="L363" s="30">
        <f>FARM_DATA[[#This Row],[Savings]]</f>
        <v>-184.44</v>
      </c>
      <c r="M363" s="5" t="str">
        <f>TEXT(CLEAN_TABLE[[#This Row],[Date]], "mmm")</f>
        <v>Mar</v>
      </c>
      <c r="N363" s="5">
        <f>YEAR(CLEAN_TABLE[[#This Row],[Date]])</f>
        <v>2025</v>
      </c>
      <c r="O363" s="5">
        <f>IF(CLEAN_TABLE[[#This Row],[Farmer_Type]]="Smart",0,1)</f>
        <v>1</v>
      </c>
      <c r="P363" s="7">
        <f>IFERROR(CLEAN_TABLE[[#This Row],[Savings]]/CLEAN_TABLE[[#This Row],[Income]],0)</f>
        <v>-0.55764172335600903</v>
      </c>
      <c r="Q363" s="7">
        <f>IF(CLEAN_TABLE[[#This Row],[Farmer_Type]]="Smart", 1 - (CLEAN_TABLE[[#This Row],[Irrigation]] / 70), 1 - (CLEAN_TABLE[[#This Row],[Irrigation]] / 150))</f>
        <v>0.50780000000000003</v>
      </c>
      <c r="R3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845.94</v>
      </c>
    </row>
    <row r="364" spans="1:19">
      <c r="A364" s="6">
        <f>FARM_DATA[[#This Row],[Date]]</f>
        <v>45745</v>
      </c>
      <c r="B364" s="5" t="str">
        <f>FARM_DATA[[#This Row],[Farmer_Type]]</f>
        <v>Traditional</v>
      </c>
      <c r="C364" s="8">
        <f>FARM_DATA[[#This Row],[Income]]</f>
        <v>245.79</v>
      </c>
      <c r="D364" s="8">
        <f>FARM_DATA[[#This Row],[Irrigation]]</f>
        <v>87.25</v>
      </c>
      <c r="E364" s="8">
        <f>FARM_DATA[[#This Row],[Seeds]]</f>
        <v>35.69</v>
      </c>
      <c r="F364" s="8">
        <f>FARM_DATA[[#This Row],[Fertilizer]]</f>
        <v>60.75</v>
      </c>
      <c r="G364" s="8">
        <f>FARM_DATA[[#This Row],[Labor]]</f>
        <v>108.86</v>
      </c>
      <c r="H364" s="8">
        <f>FARM_DATA[[#This Row],[Household]]</f>
        <v>137.27000000000001</v>
      </c>
      <c r="I364" s="8">
        <f>FARM_DATA[[#This Row],[Medical]]</f>
        <v>15.44</v>
      </c>
      <c r="J364" s="8">
        <f>FARM_DATA[[#This Row],[Misc]]</f>
        <v>33.950000000000003</v>
      </c>
      <c r="K364" s="8">
        <f>FARM_DATA[[#This Row],[Total_Expenses]]</f>
        <v>479.21</v>
      </c>
      <c r="L364" s="30">
        <f>FARM_DATA[[#This Row],[Savings]]</f>
        <v>-233.42</v>
      </c>
      <c r="M364" s="5" t="str">
        <f>TEXT(CLEAN_TABLE[[#This Row],[Date]], "mmm")</f>
        <v>Mar</v>
      </c>
      <c r="N364" s="5">
        <f>YEAR(CLEAN_TABLE[[#This Row],[Date]])</f>
        <v>2025</v>
      </c>
      <c r="O364" s="5">
        <f>IF(CLEAN_TABLE[[#This Row],[Farmer_Type]]="Smart",0,1)</f>
        <v>1</v>
      </c>
      <c r="P364" s="7">
        <f>IFERROR(CLEAN_TABLE[[#This Row],[Savings]]/CLEAN_TABLE[[#This Row],[Income]],0)</f>
        <v>-0.94967248464136045</v>
      </c>
      <c r="Q364" s="7">
        <f>IF(CLEAN_TABLE[[#This Row],[Farmer_Type]]="Smart", 1 - (CLEAN_TABLE[[#This Row],[Irrigation]] / 70), 1 - (CLEAN_TABLE[[#This Row],[Irrigation]] / 150))</f>
        <v>0.41833333333333333</v>
      </c>
      <c r="R3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725</v>
      </c>
    </row>
    <row r="365" spans="1:19">
      <c r="A365" s="6">
        <f>FARM_DATA[[#This Row],[Date]]</f>
        <v>45746</v>
      </c>
      <c r="B365" s="5" t="str">
        <f>FARM_DATA[[#This Row],[Farmer_Type]]</f>
        <v>Traditional</v>
      </c>
      <c r="C365" s="8">
        <f>FARM_DATA[[#This Row],[Income]]</f>
        <v>274.14</v>
      </c>
      <c r="D365" s="8">
        <f>FARM_DATA[[#This Row],[Irrigation]]</f>
        <v>77.510000000000005</v>
      </c>
      <c r="E365" s="8">
        <f>FARM_DATA[[#This Row],[Seeds]]</f>
        <v>33.76</v>
      </c>
      <c r="F365" s="8">
        <f>FARM_DATA[[#This Row],[Fertilizer]]</f>
        <v>32.4</v>
      </c>
      <c r="G365" s="8">
        <f>FARM_DATA[[#This Row],[Labor]]</f>
        <v>98.75</v>
      </c>
      <c r="H365" s="8">
        <f>FARM_DATA[[#This Row],[Household]]</f>
        <v>187.71</v>
      </c>
      <c r="I365" s="8">
        <f>FARM_DATA[[#This Row],[Medical]]</f>
        <v>15.72</v>
      </c>
      <c r="J365" s="8">
        <f>FARM_DATA[[#This Row],[Misc]]</f>
        <v>34.299999999999997</v>
      </c>
      <c r="K365" s="8">
        <f>FARM_DATA[[#This Row],[Total_Expenses]]</f>
        <v>480.14</v>
      </c>
      <c r="L365" s="30">
        <f>FARM_DATA[[#This Row],[Savings]]</f>
        <v>-206</v>
      </c>
      <c r="M365" s="5" t="str">
        <f>TEXT(CLEAN_TABLE[[#This Row],[Date]], "mmm")</f>
        <v>Mar</v>
      </c>
      <c r="N365" s="5">
        <f>YEAR(CLEAN_TABLE[[#This Row],[Date]])</f>
        <v>2025</v>
      </c>
      <c r="O365" s="5">
        <f>IF(CLEAN_TABLE[[#This Row],[Farmer_Type]]="Smart",0,1)</f>
        <v>1</v>
      </c>
      <c r="P365" s="7">
        <f>IFERROR(CLEAN_TABLE[[#This Row],[Savings]]/CLEAN_TABLE[[#This Row],[Income]],0)</f>
        <v>-0.75144086962865697</v>
      </c>
      <c r="Q365" s="7">
        <f>IF(CLEAN_TABLE[[#This Row],[Farmer_Type]]="Smart", 1 - (CLEAN_TABLE[[#This Row],[Irrigation]] / 70), 1 - (CLEAN_TABLE[[#This Row],[Irrigation]] / 150))</f>
        <v>0.48326666666666662</v>
      </c>
      <c r="R3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754.29</v>
      </c>
    </row>
    <row r="366" spans="1:19">
      <c r="A366" s="6">
        <f>FARM_DATA[[#This Row],[Date]]</f>
        <v>45747</v>
      </c>
      <c r="B366" s="5" t="str">
        <f>FARM_DATA[[#This Row],[Farmer_Type]]</f>
        <v>Traditional</v>
      </c>
      <c r="C366" s="8">
        <f>FARM_DATA[[#This Row],[Income]]</f>
        <v>313.45</v>
      </c>
      <c r="D366" s="8">
        <f>FARM_DATA[[#This Row],[Irrigation]]</f>
        <v>77.58</v>
      </c>
      <c r="E366" s="8">
        <f>FARM_DATA[[#This Row],[Seeds]]</f>
        <v>50.28</v>
      </c>
      <c r="F366" s="8">
        <f>FARM_DATA[[#This Row],[Fertilizer]]</f>
        <v>91.97</v>
      </c>
      <c r="G366" s="8">
        <f>FARM_DATA[[#This Row],[Labor]]</f>
        <v>105.61</v>
      </c>
      <c r="H366" s="8">
        <f>FARM_DATA[[#This Row],[Household]]</f>
        <v>170.06</v>
      </c>
      <c r="I366" s="8">
        <f>FARM_DATA[[#This Row],[Medical]]</f>
        <v>20.78</v>
      </c>
      <c r="J366" s="8">
        <f>FARM_DATA[[#This Row],[Misc]]</f>
        <v>45.55</v>
      </c>
      <c r="K366" s="8">
        <f>FARM_DATA[[#This Row],[Total_Expenses]]</f>
        <v>561.84</v>
      </c>
      <c r="L366" s="30">
        <f>FARM_DATA[[#This Row],[Savings]]</f>
        <v>-248.39</v>
      </c>
      <c r="M366" s="5" t="str">
        <f>TEXT(CLEAN_TABLE[[#This Row],[Date]], "mmm")</f>
        <v>Mar</v>
      </c>
      <c r="N366" s="5">
        <f>YEAR(CLEAN_TABLE[[#This Row],[Date]])</f>
        <v>2025</v>
      </c>
      <c r="O366" s="5">
        <f>IF(CLEAN_TABLE[[#This Row],[Farmer_Type]]="Smart",0,1)</f>
        <v>1</v>
      </c>
      <c r="P366" s="7">
        <f>IFERROR(CLEAN_TABLE[[#This Row],[Savings]]/CLEAN_TABLE[[#This Row],[Income]],0)</f>
        <v>-0.79243898548412828</v>
      </c>
      <c r="Q366" s="7">
        <f>IF(CLEAN_TABLE[[#This Row],[Farmer_Type]]="Smart", 1 - (CLEAN_TABLE[[#This Row],[Irrigation]] / 70), 1 - (CLEAN_TABLE[[#This Row],[Irrigation]] / 150))</f>
        <v>0.48280000000000001</v>
      </c>
      <c r="R3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875.28</v>
      </c>
    </row>
    <row r="367" spans="1:19">
      <c r="A367" s="6"/>
      <c r="S367" s="8"/>
    </row>
    <row r="368" spans="1:19">
      <c r="A368" s="6"/>
      <c r="S368" s="8"/>
    </row>
    <row r="369" spans="1:19">
      <c r="A369" s="6"/>
      <c r="S369" s="8"/>
    </row>
    <row r="370" spans="1:19">
      <c r="A370" s="6"/>
      <c r="S370" s="8"/>
    </row>
    <row r="371" spans="1:19">
      <c r="A371" s="6"/>
      <c r="S371" s="8"/>
    </row>
    <row r="372" spans="1:19">
      <c r="A372" s="6"/>
      <c r="S372" s="8"/>
    </row>
    <row r="373" spans="1:19">
      <c r="A373" s="6"/>
      <c r="S373" s="8"/>
    </row>
    <row r="374" spans="1:19">
      <c r="A374" s="6"/>
      <c r="S374" s="8"/>
    </row>
    <row r="375" spans="1:19">
      <c r="A375" s="6"/>
      <c r="S375" s="8"/>
    </row>
    <row r="376" spans="1:19">
      <c r="A376" s="6"/>
      <c r="S376" s="8"/>
    </row>
    <row r="377" spans="1:19">
      <c r="A377" s="6"/>
      <c r="S377" s="8"/>
    </row>
    <row r="378" spans="1:19">
      <c r="A378" s="6"/>
      <c r="S378" s="8"/>
    </row>
    <row r="379" spans="1:19">
      <c r="A379" s="6"/>
      <c r="S379" s="8"/>
    </row>
    <row r="380" spans="1:19">
      <c r="A380" s="6"/>
      <c r="S380" s="8"/>
    </row>
    <row r="381" spans="1:19">
      <c r="A381" s="6"/>
      <c r="S381" s="8"/>
    </row>
    <row r="382" spans="1:19">
      <c r="A382" s="6"/>
      <c r="S382" s="8"/>
    </row>
    <row r="383" spans="1:19">
      <c r="A383" s="6"/>
      <c r="S383" s="8"/>
    </row>
    <row r="384" spans="1:19">
      <c r="A384" s="6"/>
      <c r="S384" s="8"/>
    </row>
    <row r="385" spans="1:19">
      <c r="A385" s="6"/>
      <c r="S385" s="8"/>
    </row>
    <row r="386" spans="1:19">
      <c r="A386" s="6"/>
      <c r="S386" s="8"/>
    </row>
    <row r="387" spans="1:19">
      <c r="A387" s="6"/>
      <c r="S387" s="8"/>
    </row>
    <row r="388" spans="1:19">
      <c r="A388" s="6"/>
      <c r="S388" s="8"/>
    </row>
    <row r="389" spans="1:19">
      <c r="A389" s="6"/>
      <c r="S389" s="8"/>
    </row>
    <row r="390" spans="1:19">
      <c r="A390" s="6"/>
      <c r="S390" s="8"/>
    </row>
    <row r="391" spans="1:19">
      <c r="A391" s="6"/>
      <c r="S391" s="8"/>
    </row>
    <row r="392" spans="1:19">
      <c r="A392" s="6"/>
      <c r="S392" s="8"/>
    </row>
    <row r="393" spans="1:19">
      <c r="A393" s="6"/>
      <c r="S393" s="8"/>
    </row>
    <row r="394" spans="1:19">
      <c r="A394" s="6"/>
      <c r="S394" s="8"/>
    </row>
    <row r="395" spans="1:19">
      <c r="A395" s="6"/>
      <c r="S395" s="8"/>
    </row>
    <row r="396" spans="1:19">
      <c r="A396" s="6"/>
      <c r="S396" s="8"/>
    </row>
    <row r="397" spans="1:19">
      <c r="A397" s="6"/>
      <c r="S397" s="8"/>
    </row>
    <row r="398" spans="1:19">
      <c r="A398" s="6"/>
      <c r="S398" s="8"/>
    </row>
    <row r="399" spans="1:19">
      <c r="A399" s="6"/>
      <c r="S399" s="8"/>
    </row>
    <row r="400" spans="1:19">
      <c r="A400" s="6"/>
      <c r="S400" s="8"/>
    </row>
    <row r="401" spans="1:19">
      <c r="A401" s="6"/>
      <c r="S401" s="8"/>
    </row>
    <row r="402" spans="1:19">
      <c r="A402" s="6"/>
      <c r="S402" s="8"/>
    </row>
    <row r="403" spans="1:19">
      <c r="A403" s="6"/>
      <c r="S403" s="8"/>
    </row>
    <row r="404" spans="1:19">
      <c r="A404" s="6"/>
      <c r="S404" s="8"/>
    </row>
    <row r="405" spans="1:19">
      <c r="A405" s="6"/>
      <c r="S405" s="8"/>
    </row>
    <row r="406" spans="1:19">
      <c r="A406" s="6"/>
      <c r="S406" s="8"/>
    </row>
    <row r="407" spans="1:19">
      <c r="A407" s="6"/>
      <c r="S407" s="8"/>
    </row>
    <row r="408" spans="1:19">
      <c r="A408" s="6"/>
      <c r="S408" s="8"/>
    </row>
    <row r="409" spans="1:19">
      <c r="A409" s="6"/>
      <c r="S409" s="8"/>
    </row>
    <row r="410" spans="1:19">
      <c r="A410" s="6"/>
      <c r="S410" s="8"/>
    </row>
    <row r="411" spans="1:19">
      <c r="A411" s="6"/>
      <c r="S411" s="8"/>
    </row>
    <row r="412" spans="1:19">
      <c r="A412" s="6"/>
      <c r="S412" s="8"/>
    </row>
    <row r="413" spans="1:19">
      <c r="A413" s="6"/>
      <c r="S413" s="8"/>
    </row>
    <row r="414" spans="1:19">
      <c r="A414" s="6"/>
      <c r="S414" s="8"/>
    </row>
    <row r="415" spans="1:19">
      <c r="A415" s="6"/>
      <c r="S415" s="8"/>
    </row>
    <row r="416" spans="1:19">
      <c r="A416" s="6"/>
      <c r="S416" s="8"/>
    </row>
    <row r="417" spans="1:19">
      <c r="A417" s="6"/>
      <c r="S417" s="8"/>
    </row>
    <row r="418" spans="1:19">
      <c r="A418" s="6"/>
      <c r="S418" s="8"/>
    </row>
    <row r="419" spans="1:19">
      <c r="A419" s="6"/>
      <c r="S419" s="8"/>
    </row>
    <row r="420" spans="1:19">
      <c r="A420" s="6"/>
      <c r="S420" s="8"/>
    </row>
    <row r="421" spans="1:19">
      <c r="A421" s="6"/>
      <c r="S421" s="8"/>
    </row>
    <row r="422" spans="1:19">
      <c r="A422" s="6"/>
      <c r="S422" s="8"/>
    </row>
    <row r="423" spans="1:19">
      <c r="A423" s="6"/>
      <c r="S423" s="8"/>
    </row>
    <row r="424" spans="1:19">
      <c r="A424" s="6"/>
      <c r="S424" s="8"/>
    </row>
    <row r="425" spans="1:19">
      <c r="A425" s="6"/>
      <c r="S425" s="8"/>
    </row>
    <row r="426" spans="1:19">
      <c r="A426" s="6"/>
      <c r="S426" s="8"/>
    </row>
    <row r="427" spans="1:19">
      <c r="A427" s="6"/>
      <c r="S427" s="8"/>
    </row>
  </sheetData>
  <pageMargins left="0.7" right="0.7" top="0.75" bottom="0.75" header="0.3" footer="0.3"/>
  <ignoredErrors>
    <ignoredError sqref="H2" evalErro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A3D0-7265-5B4C-9BD6-600AAD40A72E}">
  <dimension ref="A1:H105"/>
  <sheetViews>
    <sheetView zoomScale="111" workbookViewId="0">
      <selection activeCell="B53" sqref="B53:C65"/>
    </sheetView>
  </sheetViews>
  <sheetFormatPr baseColWidth="10" defaultRowHeight="15"/>
  <cols>
    <col min="1" max="1" width="12.1640625" style="40" bestFit="1" customWidth="1"/>
    <col min="2" max="2" width="17.83203125" style="13" bestFit="1" customWidth="1"/>
    <col min="3" max="3" width="21.6640625" style="17" bestFit="1" customWidth="1"/>
    <col min="4" max="4" width="19" style="21" customWidth="1"/>
    <col min="5" max="5" width="18" style="25" bestFit="1" customWidth="1"/>
    <col min="6" max="6" width="18" style="29" bestFit="1" customWidth="1"/>
    <col min="7" max="7" width="18" style="13" bestFit="1" customWidth="1"/>
    <col min="8" max="8" width="18" style="21" bestFit="1" customWidth="1"/>
    <col min="9" max="16384" width="10.83203125" style="3"/>
  </cols>
  <sheetData>
    <row r="1" spans="1:8">
      <c r="A1" s="36" t="s">
        <v>24</v>
      </c>
      <c r="B1" s="31" t="s">
        <v>25</v>
      </c>
      <c r="C1" s="32" t="s">
        <v>17</v>
      </c>
      <c r="D1" s="33" t="s">
        <v>26</v>
      </c>
      <c r="E1" s="34" t="s">
        <v>21</v>
      </c>
      <c r="F1" s="35" t="s">
        <v>27</v>
      </c>
      <c r="G1" s="31" t="s">
        <v>28</v>
      </c>
      <c r="H1" s="33" t="s">
        <v>29</v>
      </c>
    </row>
    <row r="2" spans="1:8">
      <c r="A2" s="37" t="str" cm="1">
        <f t="array" ref="A2:A13">_xlfn.UNIQUE(CLEAN_DATA!M2:M366)</f>
        <v>Apr</v>
      </c>
      <c r="B2" s="10" cm="1">
        <f t="array" ref="B2:B13">SUMIFS(CLEAN_DATA!C2:C366,CLEAN_DATA!M2:M366,_xlfn.ANCHORARRAY('PROJECTION '!A2))</f>
        <v>17972.309999999998</v>
      </c>
      <c r="C2" s="14" cm="1">
        <f t="array" ref="C2:C13">SUMIFS(CLEAN_DATA!K2:K366,CLEAN_DATA!M2:M366,_xlfn.ANCHORARRAY('PROJECTION '!A2))</f>
        <v>14265.21</v>
      </c>
      <c r="D2" s="18" cm="1">
        <f t="array" ref="D2:D13">SUMIFS(CLEAN_DATA!L2:L366,CLEAN_DATA!M2:M366,_xlfn.ANCHORARRAY('PROJECTION '!A2))</f>
        <v>3707.0400000000004</v>
      </c>
      <c r="E2" s="22" cm="1">
        <f t="array" ref="E2:E13">IFERROR(_xlfn.ANCHORARRAY(D2)/_xlfn.ANCHORARRAY(B2),0)</f>
        <v>0.20626396940627004</v>
      </c>
      <c r="F2" s="26" cm="1">
        <f t="array" ref="F2:F13">AVERAGEIFS(CLEAN_DATA!R2:R366,CLEAN_DATA!M2:M366,_xlfn.ANCHORARRAY('PROJECTION '!A2))</f>
        <v>46</v>
      </c>
      <c r="G2" s="10" cm="1">
        <f t="array" ref="G2:G13">SUMIFS(CLEAN_TABLE[Savings],CLEAN_TABLE[Month],_xlfn.ANCHORARRAY('PROJECTION '!A2),CLEAN_TABLE[Farmer_Type],"Traditional")</f>
        <v>-2272.0399999999995</v>
      </c>
      <c r="H2" s="18" cm="1">
        <f t="array" ref="H2:H13">SUMIFS(CLEAN_TABLE[Savings],CLEAN_TABLE[Month],_xlfn.ANCHORARRAY('PROJECTION '!A2),CLEAN_TABLE[Farmer_Type],"Smart")</f>
        <v>5979.0800000000008</v>
      </c>
    </row>
    <row r="3" spans="1:8">
      <c r="A3" s="38" t="str">
        <v>May</v>
      </c>
      <c r="B3" s="11">
        <v>18313.290000000008</v>
      </c>
      <c r="C3" s="15">
        <v>14694.680000000004</v>
      </c>
      <c r="D3" s="19">
        <v>3618.5900000000006</v>
      </c>
      <c r="E3" s="23">
        <v>0.19759366012333116</v>
      </c>
      <c r="F3" s="27">
        <v>41.29032258064516</v>
      </c>
      <c r="G3" s="11">
        <v>-2509.79</v>
      </c>
      <c r="H3" s="19">
        <v>6128.3799999999992</v>
      </c>
    </row>
    <row r="4" spans="1:8">
      <c r="A4" s="38" t="str">
        <v>Jun</v>
      </c>
      <c r="B4" s="11">
        <v>19232.719999999998</v>
      </c>
      <c r="C4" s="15">
        <v>14272.810000000003</v>
      </c>
      <c r="D4" s="19">
        <v>4959.8999999999996</v>
      </c>
      <c r="E4" s="23">
        <v>0.2578886397763811</v>
      </c>
      <c r="F4" s="27">
        <v>49.333333333333336</v>
      </c>
      <c r="G4" s="11">
        <v>-1710.5400000000004</v>
      </c>
      <c r="H4" s="19">
        <v>6670.44</v>
      </c>
    </row>
    <row r="5" spans="1:8">
      <c r="A5" s="38" t="str">
        <v>Jul</v>
      </c>
      <c r="B5" s="11">
        <v>19605.400000000001</v>
      </c>
      <c r="C5" s="15">
        <v>15242.26</v>
      </c>
      <c r="D5" s="19">
        <v>4363.16</v>
      </c>
      <c r="E5" s="23">
        <v>0.2225488895916431</v>
      </c>
      <c r="F5" s="27">
        <v>50.967741935483872</v>
      </c>
      <c r="G5" s="11">
        <v>-2228.3799999999997</v>
      </c>
      <c r="H5" s="19">
        <v>6591.54</v>
      </c>
    </row>
    <row r="6" spans="1:8">
      <c r="A6" s="38" t="str">
        <v>Aug</v>
      </c>
      <c r="B6" s="11">
        <v>20464.309999999998</v>
      </c>
      <c r="C6" s="15">
        <v>15289.649999999998</v>
      </c>
      <c r="D6" s="19">
        <v>5174.6400000000012</v>
      </c>
      <c r="E6" s="23">
        <v>0.25286168944860599</v>
      </c>
      <c r="F6" s="27">
        <v>49.032258064516128</v>
      </c>
      <c r="G6" s="11">
        <v>-1953.3999999999999</v>
      </c>
      <c r="H6" s="19">
        <v>7128.0400000000009</v>
      </c>
    </row>
    <row r="7" spans="1:8">
      <c r="A7" s="38" t="str">
        <v>Sep</v>
      </c>
      <c r="B7" s="11">
        <v>18106.579999999998</v>
      </c>
      <c r="C7" s="15">
        <v>14739.78</v>
      </c>
      <c r="D7" s="19">
        <v>3366.83</v>
      </c>
      <c r="E7" s="23">
        <v>0.18594510945744588</v>
      </c>
      <c r="F7" s="27">
        <v>44</v>
      </c>
      <c r="G7" s="11">
        <v>-2358.5100000000002</v>
      </c>
      <c r="H7" s="19">
        <v>5725.34</v>
      </c>
    </row>
    <row r="8" spans="1:8">
      <c r="A8" s="38" t="str">
        <v>Oct</v>
      </c>
      <c r="B8" s="11">
        <v>20450.91</v>
      </c>
      <c r="C8" s="15">
        <v>15229.199999999997</v>
      </c>
      <c r="D8" s="19">
        <v>5221.6799999999994</v>
      </c>
      <c r="E8" s="23">
        <v>0.2553275135434071</v>
      </c>
      <c r="F8" s="27">
        <v>50.967741935483872</v>
      </c>
      <c r="G8" s="11">
        <v>-2006.2399999999998</v>
      </c>
      <c r="H8" s="19">
        <v>7227.92</v>
      </c>
    </row>
    <row r="9" spans="1:8">
      <c r="A9" s="38" t="str">
        <v>Nov</v>
      </c>
      <c r="B9" s="11">
        <v>20309.440000000002</v>
      </c>
      <c r="C9" s="15">
        <v>14348.61</v>
      </c>
      <c r="D9" s="19">
        <v>5960.8700000000026</v>
      </c>
      <c r="E9" s="23">
        <v>0.29350243039689927</v>
      </c>
      <c r="F9" s="27">
        <v>50</v>
      </c>
      <c r="G9" s="11">
        <v>-1996.5800000000002</v>
      </c>
      <c r="H9" s="19">
        <v>7957.4500000000007</v>
      </c>
    </row>
    <row r="10" spans="1:8">
      <c r="A10" s="38" t="str">
        <v>Dec</v>
      </c>
      <c r="B10" s="11">
        <v>20320.510000000006</v>
      </c>
      <c r="C10" s="15">
        <v>14720.56</v>
      </c>
      <c r="D10" s="19">
        <v>5599.9300000000012</v>
      </c>
      <c r="E10" s="23">
        <v>0.2755801896704364</v>
      </c>
      <c r="F10" s="27">
        <v>50.967741935483872</v>
      </c>
      <c r="G10" s="11">
        <v>-1388.8100000000002</v>
      </c>
      <c r="H10" s="19">
        <v>6988.7400000000007</v>
      </c>
    </row>
    <row r="11" spans="1:8">
      <c r="A11" s="38" t="str">
        <v>Jan</v>
      </c>
      <c r="B11" s="11">
        <v>19083.299999999996</v>
      </c>
      <c r="C11" s="15">
        <v>14938.420000000002</v>
      </c>
      <c r="D11" s="19">
        <v>4144.9100000000008</v>
      </c>
      <c r="E11" s="23">
        <v>0.21720090340769163</v>
      </c>
      <c r="F11" s="27">
        <v>46.451612903225808</v>
      </c>
      <c r="G11" s="11">
        <v>-2511.08</v>
      </c>
      <c r="H11" s="19">
        <v>6655.9900000000007</v>
      </c>
    </row>
    <row r="12" spans="1:8">
      <c r="A12" s="38" t="str">
        <v>Feb</v>
      </c>
      <c r="B12" s="11">
        <v>18347.330000000002</v>
      </c>
      <c r="C12" s="15">
        <v>13467.360000000002</v>
      </c>
      <c r="D12" s="19">
        <v>4879.9900000000007</v>
      </c>
      <c r="E12" s="23">
        <v>0.26597821045351017</v>
      </c>
      <c r="F12" s="27">
        <v>52.142857142857146</v>
      </c>
      <c r="G12" s="11">
        <v>-1186.67</v>
      </c>
      <c r="H12" s="19">
        <v>6066.6599999999989</v>
      </c>
    </row>
    <row r="13" spans="1:8">
      <c r="A13" s="39" t="str">
        <v>Mar</v>
      </c>
      <c r="B13" s="12">
        <v>19233.980000000003</v>
      </c>
      <c r="C13" s="16">
        <v>14868.859999999997</v>
      </c>
      <c r="D13" s="20">
        <v>4365.1200000000008</v>
      </c>
      <c r="E13" s="24">
        <v>0.22694834870370043</v>
      </c>
      <c r="F13" s="28">
        <v>48.387096774193552</v>
      </c>
      <c r="G13" s="12">
        <v>-2610.1199999999994</v>
      </c>
      <c r="H13" s="20">
        <v>6975.2400000000007</v>
      </c>
    </row>
    <row r="15" spans="1:8">
      <c r="E15" s="25">
        <f>AVERAGE(_xlfn.ANCHORARRAY(E2))</f>
        <v>0.23813662949827685</v>
      </c>
    </row>
    <row r="17" spans="1:8" ht="24">
      <c r="D17" s="46" t="s">
        <v>52</v>
      </c>
    </row>
    <row r="18" spans="1:8">
      <c r="A18" s="42" t="s">
        <v>31</v>
      </c>
      <c r="B18" t="s">
        <v>45</v>
      </c>
      <c r="C18" t="s">
        <v>46</v>
      </c>
      <c r="D18"/>
      <c r="E18"/>
      <c r="F18"/>
      <c r="G18"/>
      <c r="H18"/>
    </row>
    <row r="19" spans="1:8">
      <c r="A19" s="4" t="s">
        <v>32</v>
      </c>
      <c r="B19" s="43">
        <v>19083.299999999996</v>
      </c>
      <c r="C19" s="44">
        <v>14938.420000000002</v>
      </c>
      <c r="D19"/>
      <c r="E19"/>
      <c r="F19"/>
      <c r="G19"/>
      <c r="H19"/>
    </row>
    <row r="20" spans="1:8">
      <c r="A20" s="4" t="s">
        <v>33</v>
      </c>
      <c r="B20" s="43">
        <v>18347.330000000002</v>
      </c>
      <c r="C20" s="44">
        <v>13467.360000000002</v>
      </c>
      <c r="D20"/>
      <c r="E20"/>
      <c r="F20"/>
      <c r="G20"/>
      <c r="H20"/>
    </row>
    <row r="21" spans="1:8">
      <c r="A21" s="4" t="s">
        <v>34</v>
      </c>
      <c r="B21" s="43">
        <v>19233.980000000003</v>
      </c>
      <c r="C21" s="44">
        <v>14868.859999999997</v>
      </c>
      <c r="D21" s="43"/>
      <c r="E21"/>
      <c r="F21"/>
      <c r="G21"/>
      <c r="H21"/>
    </row>
    <row r="22" spans="1:8">
      <c r="A22" s="4" t="s">
        <v>35</v>
      </c>
      <c r="B22" s="43">
        <v>17972.309999999998</v>
      </c>
      <c r="C22" s="44">
        <v>14265.21</v>
      </c>
      <c r="D22"/>
      <c r="E22"/>
      <c r="F22"/>
      <c r="G22"/>
      <c r="H22"/>
    </row>
    <row r="23" spans="1:8">
      <c r="A23" s="4" t="s">
        <v>36</v>
      </c>
      <c r="B23" s="43">
        <v>18313.290000000008</v>
      </c>
      <c r="C23" s="44">
        <v>14694.680000000004</v>
      </c>
      <c r="D23"/>
      <c r="E23"/>
      <c r="F23"/>
      <c r="G23"/>
      <c r="H23"/>
    </row>
    <row r="24" spans="1:8">
      <c r="A24" s="4" t="s">
        <v>37</v>
      </c>
      <c r="B24" s="43">
        <v>19232.719999999998</v>
      </c>
      <c r="C24" s="44">
        <v>14272.810000000003</v>
      </c>
      <c r="D24"/>
      <c r="E24"/>
      <c r="F24"/>
      <c r="G24"/>
      <c r="H24"/>
    </row>
    <row r="25" spans="1:8">
      <c r="A25" s="4" t="s">
        <v>38</v>
      </c>
      <c r="B25" s="43">
        <v>19605.400000000001</v>
      </c>
      <c r="C25" s="44">
        <v>15242.26</v>
      </c>
      <c r="D25"/>
      <c r="E25"/>
      <c r="F25"/>
      <c r="G25"/>
      <c r="H25"/>
    </row>
    <row r="26" spans="1:8">
      <c r="A26" s="4" t="s">
        <v>39</v>
      </c>
      <c r="B26" s="43">
        <v>20464.309999999998</v>
      </c>
      <c r="C26" s="44">
        <v>15289.649999999998</v>
      </c>
      <c r="D26"/>
      <c r="E26"/>
      <c r="F26"/>
      <c r="G26"/>
      <c r="H26"/>
    </row>
    <row r="27" spans="1:8">
      <c r="A27" s="4" t="s">
        <v>40</v>
      </c>
      <c r="B27" s="43">
        <v>18106.579999999998</v>
      </c>
      <c r="C27" s="44">
        <v>14739.78</v>
      </c>
      <c r="D27"/>
      <c r="E27"/>
      <c r="F27"/>
      <c r="G27"/>
      <c r="H27"/>
    </row>
    <row r="28" spans="1:8">
      <c r="A28" s="4" t="s">
        <v>41</v>
      </c>
      <c r="B28" s="43">
        <v>20450.91</v>
      </c>
      <c r="C28" s="44">
        <v>15229.199999999997</v>
      </c>
      <c r="D28"/>
      <c r="E28"/>
      <c r="F28"/>
      <c r="G28"/>
      <c r="H28"/>
    </row>
    <row r="29" spans="1:8">
      <c r="A29" s="4" t="s">
        <v>42</v>
      </c>
      <c r="B29" s="43">
        <v>20309.440000000002</v>
      </c>
      <c r="C29" s="44">
        <v>14348.61</v>
      </c>
      <c r="D29"/>
      <c r="E29"/>
      <c r="F29"/>
      <c r="G29"/>
      <c r="H29"/>
    </row>
    <row r="30" spans="1:8">
      <c r="A30" s="4" t="s">
        <v>43</v>
      </c>
      <c r="B30" s="43">
        <v>20320.510000000006</v>
      </c>
      <c r="C30" s="44">
        <v>14720.56</v>
      </c>
      <c r="D30"/>
      <c r="E30"/>
      <c r="F30"/>
      <c r="G30"/>
      <c r="H30"/>
    </row>
    <row r="31" spans="1:8">
      <c r="A31" s="4" t="s">
        <v>44</v>
      </c>
      <c r="B31" s="43">
        <v>231440.08000000002</v>
      </c>
      <c r="C31" s="44">
        <v>176077.39999999997</v>
      </c>
      <c r="D31"/>
      <c r="E31"/>
      <c r="F31"/>
      <c r="G31"/>
      <c r="H31"/>
    </row>
    <row r="32" spans="1:8">
      <c r="A32"/>
      <c r="B32"/>
      <c r="C32"/>
    </row>
    <row r="33" spans="1:4" ht="24">
      <c r="A33"/>
      <c r="B33"/>
      <c r="C33"/>
      <c r="D33" s="47" t="s">
        <v>53</v>
      </c>
    </row>
    <row r="34" spans="1:4">
      <c r="A34" s="42" t="s">
        <v>31</v>
      </c>
      <c r="B34" t="s">
        <v>47</v>
      </c>
      <c r="C34"/>
    </row>
    <row r="35" spans="1:4">
      <c r="A35" s="4" t="s">
        <v>32</v>
      </c>
      <c r="B35" s="44">
        <v>4144.9100000000008</v>
      </c>
      <c r="C35"/>
    </row>
    <row r="36" spans="1:4">
      <c r="A36" s="4" t="s">
        <v>33</v>
      </c>
      <c r="B36" s="44">
        <v>4879.9900000000007</v>
      </c>
      <c r="C36"/>
    </row>
    <row r="37" spans="1:4">
      <c r="A37" s="4" t="s">
        <v>34</v>
      </c>
      <c r="B37" s="44">
        <v>4365.1200000000008</v>
      </c>
      <c r="C37"/>
    </row>
    <row r="38" spans="1:4">
      <c r="A38" s="4" t="s">
        <v>35</v>
      </c>
      <c r="B38" s="44">
        <v>3707.0400000000004</v>
      </c>
      <c r="C38"/>
    </row>
    <row r="39" spans="1:4">
      <c r="A39" s="4" t="s">
        <v>36</v>
      </c>
      <c r="B39" s="44">
        <v>3618.5900000000006</v>
      </c>
      <c r="C39"/>
    </row>
    <row r="40" spans="1:4">
      <c r="A40" s="4" t="s">
        <v>37</v>
      </c>
      <c r="B40" s="44">
        <v>4959.8999999999996</v>
      </c>
      <c r="C40"/>
    </row>
    <row r="41" spans="1:4">
      <c r="A41" s="4" t="s">
        <v>38</v>
      </c>
      <c r="B41" s="44">
        <v>4363.16</v>
      </c>
      <c r="C41"/>
    </row>
    <row r="42" spans="1:4">
      <c r="A42" s="4" t="s">
        <v>39</v>
      </c>
      <c r="B42" s="44">
        <v>5174.6400000000012</v>
      </c>
      <c r="C42"/>
    </row>
    <row r="43" spans="1:4">
      <c r="A43" s="4" t="s">
        <v>40</v>
      </c>
      <c r="B43" s="44">
        <v>3366.83</v>
      </c>
      <c r="C43"/>
    </row>
    <row r="44" spans="1:4">
      <c r="A44" s="4" t="s">
        <v>41</v>
      </c>
      <c r="B44" s="44">
        <v>5221.6799999999994</v>
      </c>
      <c r="C44"/>
    </row>
    <row r="45" spans="1:4">
      <c r="A45" s="4" t="s">
        <v>42</v>
      </c>
      <c r="B45" s="44">
        <v>5960.8700000000026</v>
      </c>
      <c r="C45"/>
    </row>
    <row r="46" spans="1:4">
      <c r="A46" s="4" t="s">
        <v>43</v>
      </c>
      <c r="B46" s="44">
        <v>5599.9300000000012</v>
      </c>
      <c r="C46"/>
    </row>
    <row r="47" spans="1:4">
      <c r="A47" s="4" t="s">
        <v>44</v>
      </c>
      <c r="B47" s="44">
        <v>55362.660000000011</v>
      </c>
      <c r="C47"/>
    </row>
    <row r="48" spans="1:4">
      <c r="A48"/>
      <c r="B48"/>
      <c r="C48"/>
    </row>
    <row r="49" spans="1:4">
      <c r="A49"/>
      <c r="B49"/>
      <c r="C49"/>
    </row>
    <row r="50" spans="1:4" ht="24">
      <c r="A50"/>
      <c r="B50"/>
      <c r="C50"/>
      <c r="D50" s="48" t="s">
        <v>54</v>
      </c>
    </row>
    <row r="51" spans="1:4">
      <c r="A51"/>
      <c r="B51"/>
      <c r="C51"/>
    </row>
    <row r="53" spans="1:4">
      <c r="A53" s="42" t="s">
        <v>31</v>
      </c>
      <c r="B53" t="s">
        <v>51</v>
      </c>
      <c r="C53" t="s">
        <v>50</v>
      </c>
    </row>
    <row r="54" spans="1:4">
      <c r="A54" s="4" t="s">
        <v>32</v>
      </c>
      <c r="B54" s="44">
        <v>6655.9900000000007</v>
      </c>
      <c r="C54" s="43">
        <v>-2511.08</v>
      </c>
    </row>
    <row r="55" spans="1:4">
      <c r="A55" s="4" t="s">
        <v>33</v>
      </c>
      <c r="B55" s="44">
        <v>6066.6599999999989</v>
      </c>
      <c r="C55" s="43">
        <v>-1186.67</v>
      </c>
    </row>
    <row r="56" spans="1:4">
      <c r="A56" s="4" t="s">
        <v>34</v>
      </c>
      <c r="B56" s="44">
        <v>6975.2400000000007</v>
      </c>
      <c r="C56" s="43">
        <v>-2610.1199999999994</v>
      </c>
    </row>
    <row r="57" spans="1:4">
      <c r="A57" s="4" t="s">
        <v>35</v>
      </c>
      <c r="B57" s="44">
        <v>5979.0800000000008</v>
      </c>
      <c r="C57" s="43">
        <v>-2272.0399999999995</v>
      </c>
    </row>
    <row r="58" spans="1:4">
      <c r="A58" s="4" t="s">
        <v>36</v>
      </c>
      <c r="B58" s="44">
        <v>6128.3799999999992</v>
      </c>
      <c r="C58" s="43">
        <v>-2509.79</v>
      </c>
    </row>
    <row r="59" spans="1:4">
      <c r="A59" s="4" t="s">
        <v>37</v>
      </c>
      <c r="B59" s="44">
        <v>6670.44</v>
      </c>
      <c r="C59" s="43">
        <v>-1710.5400000000004</v>
      </c>
    </row>
    <row r="60" spans="1:4">
      <c r="A60" s="4" t="s">
        <v>38</v>
      </c>
      <c r="B60" s="44">
        <v>6591.54</v>
      </c>
      <c r="C60" s="43">
        <v>-2228.3799999999997</v>
      </c>
    </row>
    <row r="61" spans="1:4">
      <c r="A61" s="4" t="s">
        <v>39</v>
      </c>
      <c r="B61" s="44">
        <v>7128.0400000000009</v>
      </c>
      <c r="C61" s="43">
        <v>-1953.3999999999999</v>
      </c>
    </row>
    <row r="62" spans="1:4">
      <c r="A62" s="4" t="s">
        <v>40</v>
      </c>
      <c r="B62" s="44">
        <v>5725.34</v>
      </c>
      <c r="C62" s="43">
        <v>-2358.5100000000002</v>
      </c>
    </row>
    <row r="63" spans="1:4">
      <c r="A63" s="4" t="s">
        <v>41</v>
      </c>
      <c r="B63" s="44">
        <v>7227.92</v>
      </c>
      <c r="C63" s="43">
        <v>-2006.2399999999998</v>
      </c>
    </row>
    <row r="64" spans="1:4">
      <c r="A64" s="4" t="s">
        <v>42</v>
      </c>
      <c r="B64" s="44">
        <v>7957.4500000000007</v>
      </c>
      <c r="C64" s="43">
        <v>-1996.5800000000002</v>
      </c>
    </row>
    <row r="65" spans="1:4">
      <c r="A65" s="4" t="s">
        <v>43</v>
      </c>
      <c r="B65" s="44">
        <v>6988.7400000000007</v>
      </c>
      <c r="C65" s="43">
        <v>-1388.8100000000002</v>
      </c>
    </row>
    <row r="66" spans="1:4">
      <c r="A66" s="4" t="s">
        <v>44</v>
      </c>
      <c r="B66" s="44">
        <v>80094.820000000007</v>
      </c>
      <c r="C66" s="43">
        <v>-24732.16</v>
      </c>
    </row>
    <row r="67" spans="1:4">
      <c r="A67"/>
      <c r="B67"/>
      <c r="C67"/>
    </row>
    <row r="68" spans="1:4">
      <c r="A68"/>
      <c r="B68"/>
      <c r="C68" s="44">
        <f>SUM(B54:B65)-SUM(C54:C65)</f>
        <v>104826.98000000001</v>
      </c>
    </row>
    <row r="69" spans="1:4">
      <c r="A69"/>
      <c r="B69" s="44"/>
      <c r="C69"/>
    </row>
    <row r="70" spans="1:4" ht="24">
      <c r="A70"/>
      <c r="B70"/>
      <c r="C70"/>
      <c r="D70" s="48" t="s">
        <v>55</v>
      </c>
    </row>
    <row r="73" spans="1:4">
      <c r="A73" s="42" t="s">
        <v>31</v>
      </c>
      <c r="B73" t="s">
        <v>49</v>
      </c>
      <c r="C73"/>
    </row>
    <row r="74" spans="1:4">
      <c r="A74" s="4" t="s">
        <v>32</v>
      </c>
      <c r="B74" s="45">
        <v>46.451612903225808</v>
      </c>
      <c r="C74"/>
    </row>
    <row r="75" spans="1:4">
      <c r="A75" s="4" t="s">
        <v>33</v>
      </c>
      <c r="B75" s="45">
        <v>52.142857142857146</v>
      </c>
      <c r="C75"/>
    </row>
    <row r="76" spans="1:4">
      <c r="A76" s="4" t="s">
        <v>34</v>
      </c>
      <c r="B76" s="45">
        <v>48.387096774193552</v>
      </c>
      <c r="C76"/>
    </row>
    <row r="77" spans="1:4">
      <c r="A77" s="4" t="s">
        <v>35</v>
      </c>
      <c r="B77" s="45">
        <v>46</v>
      </c>
      <c r="C77"/>
    </row>
    <row r="78" spans="1:4">
      <c r="A78" s="4" t="s">
        <v>36</v>
      </c>
      <c r="B78" s="45">
        <v>41.29032258064516</v>
      </c>
      <c r="C78"/>
    </row>
    <row r="79" spans="1:4">
      <c r="A79" s="4" t="s">
        <v>37</v>
      </c>
      <c r="B79" s="45">
        <v>49.333333333333336</v>
      </c>
      <c r="C79"/>
    </row>
    <row r="80" spans="1:4">
      <c r="A80" s="4" t="s">
        <v>38</v>
      </c>
      <c r="B80" s="45">
        <v>50.967741935483872</v>
      </c>
      <c r="C80"/>
    </row>
    <row r="81" spans="1:3">
      <c r="A81" s="4" t="s">
        <v>39</v>
      </c>
      <c r="B81" s="45">
        <v>49.032258064516128</v>
      </c>
      <c r="C81"/>
    </row>
    <row r="82" spans="1:3">
      <c r="A82" s="4" t="s">
        <v>40</v>
      </c>
      <c r="B82" s="45">
        <v>44</v>
      </c>
      <c r="C82"/>
    </row>
    <row r="83" spans="1:3">
      <c r="A83" s="4" t="s">
        <v>41</v>
      </c>
      <c r="B83" s="45">
        <v>50.967741935483872</v>
      </c>
      <c r="C83"/>
    </row>
    <row r="84" spans="1:3">
      <c r="A84" s="4" t="s">
        <v>42</v>
      </c>
      <c r="B84" s="45">
        <v>50</v>
      </c>
      <c r="C84"/>
    </row>
    <row r="85" spans="1:3">
      <c r="A85" s="4" t="s">
        <v>43</v>
      </c>
      <c r="B85" s="45">
        <v>50.967741935483872</v>
      </c>
      <c r="C85"/>
    </row>
    <row r="86" spans="1:3">
      <c r="A86" s="4" t="s">
        <v>44</v>
      </c>
      <c r="B86" s="45">
        <v>579.54070660522279</v>
      </c>
      <c r="C86"/>
    </row>
    <row r="87" spans="1:3">
      <c r="A87"/>
      <c r="B87"/>
      <c r="C87"/>
    </row>
    <row r="88" spans="1:3">
      <c r="A88" s="42" t="s">
        <v>31</v>
      </c>
      <c r="B88" t="s">
        <v>57</v>
      </c>
      <c r="C88"/>
    </row>
    <row r="89" spans="1:3">
      <c r="A89" s="4" t="s">
        <v>13</v>
      </c>
      <c r="B89">
        <v>248670.12</v>
      </c>
      <c r="C89"/>
    </row>
    <row r="90" spans="1:3">
      <c r="A90" s="4" t="s">
        <v>12</v>
      </c>
      <c r="B90">
        <v>158847.41999999998</v>
      </c>
      <c r="C90"/>
    </row>
    <row r="91" spans="1:3">
      <c r="A91" s="4" t="s">
        <v>48</v>
      </c>
      <c r="B91"/>
      <c r="C91"/>
    </row>
    <row r="92" spans="1:3">
      <c r="A92" s="4" t="s">
        <v>44</v>
      </c>
      <c r="B92">
        <v>407517.54</v>
      </c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</sheetData>
  <pageMargins left="0.7" right="0.7" top="0.75" bottom="0.75" header="0.3" footer="0.3"/>
  <pageSetup paperSize="9" orientation="portrait" horizontalDpi="0" verticalDpi="0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0F54727-48FC-1443-A4F4-EB229F034220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'PROJECTION '!C68</xm:f>
              <xm:sqref>C69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D56F-3205-3F4F-A5AC-F6186F85102C}">
  <dimension ref="A1"/>
  <sheetViews>
    <sheetView showGridLines="0" tabSelected="1" zoomScale="69" zoomScaleNormal="75" workbookViewId="0">
      <selection activeCell="Z27" sqref="Z27"/>
    </sheetView>
  </sheetViews>
  <sheetFormatPr baseColWidth="10" defaultRowHeight="15"/>
  <cols>
    <col min="1" max="16384" width="10.83203125" style="49"/>
  </cols>
  <sheetData/>
  <printOptions headings="1"/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4F8-550C-9E48-BD0C-5A336024D496}">
  <dimension ref="A1"/>
  <sheetViews>
    <sheetView workbookViewId="0">
      <selection sqref="A1:A1048576"/>
    </sheetView>
  </sheetViews>
  <sheetFormatPr baseColWidth="10" defaultRowHeight="15"/>
  <cols>
    <col min="1" max="1" width="14.1640625" bestFit="1" customWidth="1"/>
    <col min="2" max="2" width="14.83203125" bestFit="1" customWidth="1"/>
    <col min="3" max="3" width="8.1640625" bestFit="1" customWidth="1"/>
    <col min="4" max="7" width="9.1640625" bestFit="1" customWidth="1"/>
    <col min="8" max="8" width="8.1640625" bestFit="1" customWidth="1"/>
    <col min="9" max="10" width="9.1640625" bestFit="1" customWidth="1"/>
    <col min="11" max="11" width="8.1640625" bestFit="1" customWidth="1"/>
    <col min="12" max="15" width="9.1640625" bestFit="1" customWidth="1"/>
    <col min="16" max="16" width="11.6640625" bestFit="1" customWidth="1"/>
    <col min="17" max="17" width="6.33203125" bestFit="1" customWidth="1"/>
    <col min="18" max="18" width="10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8931-7FA4-DE4E-A5F1-4FADB7A8D8C9}">
  <dimension ref="A2:C33"/>
  <sheetViews>
    <sheetView topLeftCell="A9" workbookViewId="0">
      <selection activeCell="A19" sqref="A19:C33"/>
    </sheetView>
  </sheetViews>
  <sheetFormatPr baseColWidth="10" defaultRowHeight="15"/>
  <cols>
    <col min="1" max="1" width="12.1640625" bestFit="1" customWidth="1"/>
    <col min="2" max="2" width="17.6640625" bestFit="1" customWidth="1"/>
    <col min="3" max="3" width="17.33203125" bestFit="1" customWidth="1"/>
  </cols>
  <sheetData>
    <row r="2" spans="1:3" ht="18">
      <c r="A2" s="41" t="s">
        <v>30</v>
      </c>
      <c r="B2" s="17"/>
      <c r="C2" s="21"/>
    </row>
    <row r="3" spans="1:3">
      <c r="A3" s="42" t="s">
        <v>31</v>
      </c>
      <c r="B3" t="s">
        <v>46</v>
      </c>
      <c r="C3" t="s">
        <v>45</v>
      </c>
    </row>
    <row r="4" spans="1:3">
      <c r="A4" s="4" t="s">
        <v>32</v>
      </c>
      <c r="B4" s="44">
        <v>14938.420000000002</v>
      </c>
      <c r="C4" s="43">
        <v>19083.299999999996</v>
      </c>
    </row>
    <row r="5" spans="1:3">
      <c r="A5" s="4" t="s">
        <v>33</v>
      </c>
      <c r="B5" s="44">
        <v>13467.360000000002</v>
      </c>
      <c r="C5" s="43">
        <v>18347.330000000002</v>
      </c>
    </row>
    <row r="6" spans="1:3">
      <c r="A6" s="4" t="s">
        <v>34</v>
      </c>
      <c r="B6" s="44">
        <v>14868.859999999997</v>
      </c>
      <c r="C6" s="43">
        <v>19233.980000000003</v>
      </c>
    </row>
    <row r="7" spans="1:3">
      <c r="A7" s="4" t="s">
        <v>35</v>
      </c>
      <c r="B7" s="44">
        <v>4942.6000000000004</v>
      </c>
      <c r="C7" s="43">
        <v>5315.48</v>
      </c>
    </row>
    <row r="8" spans="1:3">
      <c r="A8" s="4" t="s">
        <v>36</v>
      </c>
      <c r="B8" s="44">
        <v>14694.680000000004</v>
      </c>
      <c r="C8" s="43">
        <v>18313.290000000008</v>
      </c>
    </row>
    <row r="9" spans="1:3">
      <c r="A9" s="4" t="s">
        <v>37</v>
      </c>
      <c r="B9" s="44">
        <v>14272.810000000003</v>
      </c>
      <c r="C9" s="43">
        <v>19232.719999999998</v>
      </c>
    </row>
    <row r="10" spans="1:3">
      <c r="A10" s="4" t="s">
        <v>38</v>
      </c>
      <c r="B10" s="44">
        <v>15242.26</v>
      </c>
      <c r="C10" s="43">
        <v>19605.400000000001</v>
      </c>
    </row>
    <row r="11" spans="1:3">
      <c r="A11" s="4" t="s">
        <v>39</v>
      </c>
      <c r="B11" s="44">
        <v>15289.649999999998</v>
      </c>
      <c r="C11" s="43">
        <v>20464.309999999998</v>
      </c>
    </row>
    <row r="12" spans="1:3">
      <c r="A12" s="4" t="s">
        <v>40</v>
      </c>
      <c r="B12" s="44">
        <v>14739.78</v>
      </c>
      <c r="C12" s="43">
        <v>18106.579999999998</v>
      </c>
    </row>
    <row r="13" spans="1:3">
      <c r="A13" s="4" t="s">
        <v>41</v>
      </c>
      <c r="B13" s="44">
        <v>15229.199999999997</v>
      </c>
      <c r="C13" s="43">
        <v>20450.91</v>
      </c>
    </row>
    <row r="14" spans="1:3">
      <c r="A14" s="4" t="s">
        <v>42</v>
      </c>
      <c r="B14" s="44">
        <v>14348.61</v>
      </c>
      <c r="C14" s="43">
        <v>20309.440000000002</v>
      </c>
    </row>
    <row r="15" spans="1:3">
      <c r="A15" s="4" t="s">
        <v>43</v>
      </c>
      <c r="B15" s="44">
        <v>14720.56</v>
      </c>
      <c r="C15" s="43">
        <v>20320.510000000006</v>
      </c>
    </row>
    <row r="16" spans="1:3">
      <c r="A16" s="4" t="s">
        <v>44</v>
      </c>
      <c r="B16" s="44">
        <v>166754.78999999998</v>
      </c>
      <c r="C16" s="43">
        <v>218783.25</v>
      </c>
    </row>
    <row r="20" spans="1:2">
      <c r="A20" s="36" t="s">
        <v>24</v>
      </c>
      <c r="B20" s="33" t="s">
        <v>26</v>
      </c>
    </row>
    <row r="21" spans="1:2">
      <c r="A21" s="37" t="str" cm="1">
        <f t="array" ref="A21:A33">_xlfn.UNIQUE(CLEAN_DATA!M21:M385)</f>
        <v>Apr</v>
      </c>
      <c r="B21" s="18" cm="1">
        <f t="array" ref="B21">SUMIFS(CLEAN_DATA!J21:J385,CLEAN_DATA!K21:K385,_xlfn.ANCHORARRAY('PROJECTION '!#REF!))</f>
        <v>0</v>
      </c>
    </row>
    <row r="22" spans="1:2">
      <c r="A22" s="38" t="str">
        <v>May</v>
      </c>
      <c r="B22" s="19"/>
    </row>
    <row r="23" spans="1:2">
      <c r="A23" s="38" t="str">
        <v>Jun</v>
      </c>
      <c r="B23" s="19"/>
    </row>
    <row r="24" spans="1:2">
      <c r="A24" s="38" t="str">
        <v>Jul</v>
      </c>
      <c r="B24" s="19"/>
    </row>
    <row r="25" spans="1:2">
      <c r="A25" s="38" t="str">
        <v>Aug</v>
      </c>
      <c r="B25" s="19"/>
    </row>
    <row r="26" spans="1:2">
      <c r="A26" s="38" t="str">
        <v>Sep</v>
      </c>
      <c r="B26" s="19"/>
    </row>
    <row r="27" spans="1:2">
      <c r="A27" s="38" t="str">
        <v>Oct</v>
      </c>
      <c r="B27" s="19"/>
    </row>
    <row r="28" spans="1:2">
      <c r="A28" s="38" t="str">
        <v>Nov</v>
      </c>
      <c r="B28" s="19"/>
    </row>
    <row r="29" spans="1:2">
      <c r="A29" s="38" t="str">
        <v>Dec</v>
      </c>
      <c r="B29" s="19"/>
    </row>
    <row r="30" spans="1:2">
      <c r="A30" s="38" t="str">
        <v>Jan</v>
      </c>
      <c r="B30" s="19"/>
    </row>
    <row r="31" spans="1:2">
      <c r="A31" s="38" t="str">
        <v>Feb</v>
      </c>
      <c r="B31" s="19"/>
    </row>
    <row r="32" spans="1:2">
      <c r="A32" s="39" t="str">
        <v>Mar</v>
      </c>
      <c r="B32" s="20"/>
    </row>
    <row r="33" spans="1:1">
      <c r="A33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FARM_DATA</vt:lpstr>
      <vt:lpstr>CLEAN_DATA</vt:lpstr>
      <vt:lpstr>PROJECTION </vt:lpstr>
      <vt:lpstr>Dashboard</vt:lpstr>
      <vt:lpstr>Sheet7</vt:lpstr>
      <vt:lpstr>Pivot Tables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Jassim Saji</cp:lastModifiedBy>
  <dcterms:created xsi:type="dcterms:W3CDTF">2025-12-13T05:36:58Z</dcterms:created>
  <dcterms:modified xsi:type="dcterms:W3CDTF">2026-01-22T22:17:50Z</dcterms:modified>
</cp:coreProperties>
</file>